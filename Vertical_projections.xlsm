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9980" windowHeight="7560"/>
  </bookViews>
  <sheets>
    <sheet name="data" sheetId="1" r:id="rId1"/>
    <sheet name="simulation" sheetId="2" r:id="rId2"/>
  </sheets>
  <definedNames>
    <definedName name="ball_count">data!$P$2</definedName>
    <definedName name="Clock">data!$M$2</definedName>
    <definedName name="Gravity">data!$H$2</definedName>
    <definedName name="Max_height">data!$O$2</definedName>
    <definedName name="Max_Time">data!$N$2</definedName>
    <definedName name="Time_steps">simulation!$O$11</definedName>
  </definedNames>
  <calcPr calcId="145621"/>
</workbook>
</file>

<file path=xl/calcChain.xml><?xml version="1.0" encoding="utf-8"?>
<calcChain xmlns="http://schemas.openxmlformats.org/spreadsheetml/2006/main">
  <c r="D3" i="1" l="1"/>
  <c r="D5" i="1"/>
  <c r="F5" i="1" s="1"/>
  <c r="D11" i="1"/>
  <c r="D13" i="1"/>
  <c r="D19" i="1"/>
  <c r="E19" i="1" s="1"/>
  <c r="G19" i="1" s="1"/>
  <c r="D21" i="1"/>
  <c r="F21" i="1" s="1"/>
  <c r="D25" i="1"/>
  <c r="F25" i="1" s="1"/>
  <c r="D27" i="1"/>
  <c r="E27" i="1" s="1"/>
  <c r="D29" i="1"/>
  <c r="D33" i="1"/>
  <c r="D37" i="1"/>
  <c r="D43" i="1"/>
  <c r="E43" i="1" s="1"/>
  <c r="D45" i="1"/>
  <c r="D49" i="1"/>
  <c r="D51" i="1"/>
  <c r="D59" i="1"/>
  <c r="D63" i="1"/>
  <c r="D67" i="1"/>
  <c r="E67" i="1" s="1"/>
  <c r="I67" i="1" s="1"/>
  <c r="D77" i="1"/>
  <c r="D79" i="1"/>
  <c r="D89" i="1"/>
  <c r="D95" i="1"/>
  <c r="D97" i="1"/>
  <c r="D99" i="1"/>
  <c r="E99" i="1" s="1"/>
  <c r="D7" i="1"/>
  <c r="D15" i="1"/>
  <c r="D23" i="1"/>
  <c r="E23" i="1" s="1"/>
  <c r="G23" i="1" s="1"/>
  <c r="D31" i="1"/>
  <c r="E31" i="1" s="1"/>
  <c r="D39" i="1"/>
  <c r="E39" i="1" s="1"/>
  <c r="D47" i="1"/>
  <c r="E47" i="1" s="1"/>
  <c r="D55" i="1"/>
  <c r="E55" i="1" s="1"/>
  <c r="D65" i="1"/>
  <c r="D73" i="1"/>
  <c r="D81" i="1"/>
  <c r="D93" i="1"/>
  <c r="D101" i="1"/>
  <c r="D9" i="1"/>
  <c r="F9" i="1" s="1"/>
  <c r="D17" i="1"/>
  <c r="D41" i="1"/>
  <c r="D57" i="1"/>
  <c r="D71" i="1"/>
  <c r="D87" i="1"/>
  <c r="D4" i="1"/>
  <c r="E4" i="1" s="1"/>
  <c r="D6" i="1"/>
  <c r="D8" i="1"/>
  <c r="E8" i="1" s="1"/>
  <c r="D10" i="1"/>
  <c r="D12" i="1"/>
  <c r="E12" i="1" s="1"/>
  <c r="D14" i="1"/>
  <c r="D16" i="1"/>
  <c r="E16" i="1" s="1"/>
  <c r="D18" i="1"/>
  <c r="D20" i="1"/>
  <c r="F20" i="1" s="1"/>
  <c r="D22" i="1"/>
  <c r="D24" i="1"/>
  <c r="F24" i="1" s="1"/>
  <c r="D26" i="1"/>
  <c r="D28" i="1"/>
  <c r="E28" i="1" s="1"/>
  <c r="D30" i="1"/>
  <c r="D32" i="1"/>
  <c r="E32" i="1" s="1"/>
  <c r="D34" i="1"/>
  <c r="D35" i="1"/>
  <c r="E35" i="1" s="1"/>
  <c r="D36" i="1"/>
  <c r="E36" i="1" s="1"/>
  <c r="D38" i="1"/>
  <c r="D40" i="1"/>
  <c r="E40" i="1" s="1"/>
  <c r="D42" i="1"/>
  <c r="D44" i="1"/>
  <c r="E44" i="1" s="1"/>
  <c r="D46" i="1"/>
  <c r="E46" i="1" s="1"/>
  <c r="G46" i="1" s="1"/>
  <c r="D48" i="1"/>
  <c r="F48" i="1" s="1"/>
  <c r="D50" i="1"/>
  <c r="E50" i="1" s="1"/>
  <c r="G50" i="1" s="1"/>
  <c r="D52" i="1"/>
  <c r="F52" i="1" s="1"/>
  <c r="D53" i="1"/>
  <c r="D54" i="1"/>
  <c r="E54" i="1" s="1"/>
  <c r="G54" i="1" s="1"/>
  <c r="D56" i="1"/>
  <c r="F56" i="1" s="1"/>
  <c r="D58" i="1"/>
  <c r="E58" i="1" s="1"/>
  <c r="G58" i="1" s="1"/>
  <c r="D60" i="1"/>
  <c r="F60" i="1" s="1"/>
  <c r="D61" i="1"/>
  <c r="D62" i="1"/>
  <c r="E62" i="1" s="1"/>
  <c r="I62" i="1" s="1"/>
  <c r="F62" i="1"/>
  <c r="D64" i="1"/>
  <c r="E64" i="1" s="1"/>
  <c r="H64" i="1" s="1"/>
  <c r="D66" i="1"/>
  <c r="E66" i="1" s="1"/>
  <c r="I66" i="1" s="1"/>
  <c r="D68" i="1"/>
  <c r="E68" i="1" s="1"/>
  <c r="H68" i="1" s="1"/>
  <c r="D69" i="1"/>
  <c r="D70" i="1"/>
  <c r="E70" i="1" s="1"/>
  <c r="I70" i="1" s="1"/>
  <c r="D72" i="1"/>
  <c r="E72" i="1" s="1"/>
  <c r="H72" i="1" s="1"/>
  <c r="D74" i="1"/>
  <c r="E74" i="1" s="1"/>
  <c r="I74" i="1" s="1"/>
  <c r="D75" i="1"/>
  <c r="E75" i="1" s="1"/>
  <c r="D76" i="1"/>
  <c r="E76" i="1" s="1"/>
  <c r="H76" i="1" s="1"/>
  <c r="D78" i="1"/>
  <c r="E78" i="1" s="1"/>
  <c r="I78" i="1" s="1"/>
  <c r="D80" i="1"/>
  <c r="E80" i="1" s="1"/>
  <c r="H80" i="1" s="1"/>
  <c r="D82" i="1"/>
  <c r="E82" i="1" s="1"/>
  <c r="I82" i="1" s="1"/>
  <c r="D83" i="1"/>
  <c r="E83" i="1" s="1"/>
  <c r="I83" i="1" s="1"/>
  <c r="D84" i="1"/>
  <c r="E84" i="1" s="1"/>
  <c r="H84" i="1" s="1"/>
  <c r="D85" i="1"/>
  <c r="D86" i="1"/>
  <c r="E86" i="1" s="1"/>
  <c r="I86" i="1" s="1"/>
  <c r="D88" i="1"/>
  <c r="E88" i="1" s="1"/>
  <c r="H88" i="1" s="1"/>
  <c r="D90" i="1"/>
  <c r="E90" i="1" s="1"/>
  <c r="I90" i="1" s="1"/>
  <c r="D91" i="1"/>
  <c r="E91" i="1" s="1"/>
  <c r="D92" i="1"/>
  <c r="E92" i="1" s="1"/>
  <c r="H92" i="1" s="1"/>
  <c r="D94" i="1"/>
  <c r="E94" i="1" s="1"/>
  <c r="I94" i="1" s="1"/>
  <c r="D96" i="1"/>
  <c r="E96" i="1" s="1"/>
  <c r="H96" i="1" s="1"/>
  <c r="D98" i="1"/>
  <c r="E98" i="1" s="1"/>
  <c r="I98" i="1" s="1"/>
  <c r="D100" i="1"/>
  <c r="E100" i="1" s="1"/>
  <c r="H100" i="1" s="1"/>
  <c r="P2" i="1"/>
  <c r="F92" i="1" l="1"/>
  <c r="F76" i="1"/>
  <c r="F54" i="1"/>
  <c r="F100" i="1"/>
  <c r="F12" i="1"/>
  <c r="F8" i="1"/>
  <c r="F78" i="1"/>
  <c r="E56" i="1"/>
  <c r="I56" i="1" s="1"/>
  <c r="E24" i="1"/>
  <c r="I24" i="1" s="1"/>
  <c r="F94" i="1"/>
  <c r="F75" i="1"/>
  <c r="F70" i="1"/>
  <c r="F68" i="1"/>
  <c r="F46" i="1"/>
  <c r="E20" i="1"/>
  <c r="H20" i="1" s="1"/>
  <c r="F91" i="1"/>
  <c r="F86" i="1"/>
  <c r="F84" i="1"/>
  <c r="F55" i="1"/>
  <c r="E48" i="1"/>
  <c r="G48" i="1" s="1"/>
  <c r="F4" i="1"/>
  <c r="F95" i="1"/>
  <c r="E95" i="1"/>
  <c r="I95" i="1" s="1"/>
  <c r="F87" i="1"/>
  <c r="E87" i="1"/>
  <c r="H87" i="1" s="1"/>
  <c r="E79" i="1"/>
  <c r="I79" i="1" s="1"/>
  <c r="F79" i="1"/>
  <c r="F71" i="1"/>
  <c r="E71" i="1"/>
  <c r="I71" i="1" s="1"/>
  <c r="E63" i="1"/>
  <c r="H63" i="1" s="1"/>
  <c r="F63" i="1"/>
  <c r="E59" i="1"/>
  <c r="G59" i="1" s="1"/>
  <c r="F59" i="1"/>
  <c r="F51" i="1"/>
  <c r="E51" i="1"/>
  <c r="H51" i="1" s="1"/>
  <c r="E15" i="1"/>
  <c r="G15" i="1" s="1"/>
  <c r="F15" i="1"/>
  <c r="E7" i="1"/>
  <c r="G7" i="1" s="1"/>
  <c r="F7" i="1"/>
  <c r="E3" i="1"/>
  <c r="G3" i="1" s="1"/>
  <c r="F3" i="1"/>
  <c r="E45" i="1"/>
  <c r="G45" i="1" s="1"/>
  <c r="F45" i="1"/>
  <c r="E41" i="1"/>
  <c r="H41" i="1" s="1"/>
  <c r="F41" i="1"/>
  <c r="E37" i="1"/>
  <c r="I37" i="1" s="1"/>
  <c r="F37" i="1"/>
  <c r="E33" i="1"/>
  <c r="I33" i="1" s="1"/>
  <c r="F33" i="1"/>
  <c r="E29" i="1"/>
  <c r="I29" i="1" s="1"/>
  <c r="F29" i="1"/>
  <c r="F17" i="1"/>
  <c r="E17" i="1"/>
  <c r="H17" i="1" s="1"/>
  <c r="F13" i="1"/>
  <c r="E13" i="1"/>
  <c r="G13" i="1" s="1"/>
  <c r="E11" i="1"/>
  <c r="G11" i="1" s="1"/>
  <c r="F11" i="1"/>
  <c r="F99" i="1"/>
  <c r="F83" i="1"/>
  <c r="F67" i="1"/>
  <c r="F47" i="1"/>
  <c r="F44" i="1"/>
  <c r="F40" i="1"/>
  <c r="F36" i="1"/>
  <c r="F32" i="1"/>
  <c r="F28" i="1"/>
  <c r="F16" i="1"/>
  <c r="F90" i="1"/>
  <c r="F88" i="1"/>
  <c r="F74" i="1"/>
  <c r="F72" i="1"/>
  <c r="F58" i="1"/>
  <c r="E52" i="1"/>
  <c r="I52" i="1" s="1"/>
  <c r="F98" i="1"/>
  <c r="F96" i="1"/>
  <c r="F82" i="1"/>
  <c r="F80" i="1"/>
  <c r="F66" i="1"/>
  <c r="F64" i="1"/>
  <c r="E60" i="1"/>
  <c r="H60" i="1" s="1"/>
  <c r="F50" i="1"/>
  <c r="F43" i="1"/>
  <c r="F39" i="1"/>
  <c r="F35" i="1"/>
  <c r="F31" i="1"/>
  <c r="F27" i="1"/>
  <c r="F23" i="1"/>
  <c r="F19" i="1"/>
  <c r="E53" i="1"/>
  <c r="F53" i="1"/>
  <c r="G100" i="1"/>
  <c r="I100" i="1"/>
  <c r="G96" i="1"/>
  <c r="I96" i="1"/>
  <c r="G92" i="1"/>
  <c r="I92" i="1"/>
  <c r="G88" i="1"/>
  <c r="I88" i="1"/>
  <c r="G84" i="1"/>
  <c r="I84" i="1"/>
  <c r="G80" i="1"/>
  <c r="I80" i="1"/>
  <c r="G76" i="1"/>
  <c r="I76" i="1"/>
  <c r="G72" i="1"/>
  <c r="I72" i="1"/>
  <c r="G68" i="1"/>
  <c r="I68" i="1"/>
  <c r="G64" i="1"/>
  <c r="I64" i="1"/>
  <c r="E57" i="1"/>
  <c r="F57" i="1"/>
  <c r="H44" i="1"/>
  <c r="G44" i="1"/>
  <c r="I44" i="1"/>
  <c r="F42" i="1"/>
  <c r="E42" i="1"/>
  <c r="H40" i="1"/>
  <c r="G40" i="1"/>
  <c r="I40" i="1"/>
  <c r="F38" i="1"/>
  <c r="E38" i="1"/>
  <c r="H36" i="1"/>
  <c r="G36" i="1"/>
  <c r="I36" i="1"/>
  <c r="F34" i="1"/>
  <c r="E34" i="1"/>
  <c r="H32" i="1"/>
  <c r="G32" i="1"/>
  <c r="I32" i="1"/>
  <c r="F30" i="1"/>
  <c r="E30" i="1"/>
  <c r="H28" i="1"/>
  <c r="G28" i="1"/>
  <c r="I28" i="1"/>
  <c r="F101" i="1"/>
  <c r="E101" i="1"/>
  <c r="F97" i="1"/>
  <c r="E97" i="1"/>
  <c r="F93" i="1"/>
  <c r="E93" i="1"/>
  <c r="F89" i="1"/>
  <c r="E89" i="1"/>
  <c r="F85" i="1"/>
  <c r="E85" i="1"/>
  <c r="F81" i="1"/>
  <c r="E81" i="1"/>
  <c r="F77" i="1"/>
  <c r="E77" i="1"/>
  <c r="F73" i="1"/>
  <c r="E73" i="1"/>
  <c r="F69" i="1"/>
  <c r="E69" i="1"/>
  <c r="F65" i="1"/>
  <c r="E65" i="1"/>
  <c r="F61" i="1"/>
  <c r="E61" i="1"/>
  <c r="E49" i="1"/>
  <c r="F49" i="1"/>
  <c r="E10" i="1"/>
  <c r="F10" i="1"/>
  <c r="H99" i="1"/>
  <c r="H91" i="1"/>
  <c r="H75" i="1"/>
  <c r="G55" i="1"/>
  <c r="H55" i="1"/>
  <c r="G47" i="1"/>
  <c r="H47" i="1"/>
  <c r="I43" i="1"/>
  <c r="G43" i="1"/>
  <c r="H43" i="1"/>
  <c r="I39" i="1"/>
  <c r="G39" i="1"/>
  <c r="H39" i="1"/>
  <c r="I35" i="1"/>
  <c r="G35" i="1"/>
  <c r="H35" i="1"/>
  <c r="I31" i="1"/>
  <c r="G31" i="1"/>
  <c r="H31" i="1"/>
  <c r="I27" i="1"/>
  <c r="G27" i="1"/>
  <c r="H27" i="1"/>
  <c r="E22" i="1"/>
  <c r="F22" i="1"/>
  <c r="G8" i="1"/>
  <c r="H8" i="1"/>
  <c r="I8" i="1"/>
  <c r="E6" i="1"/>
  <c r="F6" i="1"/>
  <c r="I99" i="1"/>
  <c r="H98" i="1"/>
  <c r="H94" i="1"/>
  <c r="I91" i="1"/>
  <c r="H90" i="1"/>
  <c r="H86" i="1"/>
  <c r="H82" i="1"/>
  <c r="H78" i="1"/>
  <c r="I75" i="1"/>
  <c r="H74" i="1"/>
  <c r="H70" i="1"/>
  <c r="H66" i="1"/>
  <c r="H62" i="1"/>
  <c r="K62" i="1" s="1"/>
  <c r="E25" i="1"/>
  <c r="E18" i="1"/>
  <c r="F18" i="1"/>
  <c r="E9" i="1"/>
  <c r="G4" i="1"/>
  <c r="H4" i="1"/>
  <c r="I4" i="1"/>
  <c r="F26" i="1"/>
  <c r="E26" i="1"/>
  <c r="G12" i="1"/>
  <c r="H12" i="1"/>
  <c r="I12" i="1"/>
  <c r="H83" i="1"/>
  <c r="H67" i="1"/>
  <c r="G99" i="1"/>
  <c r="G98" i="1"/>
  <c r="G94" i="1"/>
  <c r="G91" i="1"/>
  <c r="G90" i="1"/>
  <c r="G86" i="1"/>
  <c r="G83" i="1"/>
  <c r="G82" i="1"/>
  <c r="G78" i="1"/>
  <c r="G75" i="1"/>
  <c r="G74" i="1"/>
  <c r="G70" i="1"/>
  <c r="G67" i="1"/>
  <c r="G66" i="1"/>
  <c r="G62" i="1"/>
  <c r="H58" i="1"/>
  <c r="I58" i="1"/>
  <c r="I55" i="1"/>
  <c r="H54" i="1"/>
  <c r="I54" i="1"/>
  <c r="H50" i="1"/>
  <c r="I50" i="1"/>
  <c r="I47" i="1"/>
  <c r="H46" i="1"/>
  <c r="I46" i="1"/>
  <c r="E21" i="1"/>
  <c r="G16" i="1"/>
  <c r="H16" i="1"/>
  <c r="I16" i="1"/>
  <c r="E14" i="1"/>
  <c r="F14" i="1"/>
  <c r="E5" i="1"/>
  <c r="H23" i="1"/>
  <c r="I23" i="1"/>
  <c r="H19" i="1"/>
  <c r="I19" i="1"/>
  <c r="D2" i="1"/>
  <c r="I60" i="1" l="1"/>
  <c r="K60" i="1" s="1"/>
  <c r="K70" i="1"/>
  <c r="K82" i="1"/>
  <c r="I63" i="1"/>
  <c r="K63" i="1" s="1"/>
  <c r="H37" i="1"/>
  <c r="K37" i="1" s="1"/>
  <c r="G41" i="1"/>
  <c r="H7" i="1"/>
  <c r="G63" i="1"/>
  <c r="K94" i="1"/>
  <c r="K92" i="1"/>
  <c r="H15" i="1"/>
  <c r="J66" i="1"/>
  <c r="G29" i="1"/>
  <c r="I7" i="1"/>
  <c r="G79" i="1"/>
  <c r="G33" i="1"/>
  <c r="H45" i="1"/>
  <c r="G56" i="1"/>
  <c r="I48" i="1"/>
  <c r="H79" i="1"/>
  <c r="H29" i="1"/>
  <c r="K29" i="1" s="1"/>
  <c r="G37" i="1"/>
  <c r="K76" i="1"/>
  <c r="K67" i="1"/>
  <c r="H24" i="1"/>
  <c r="K24" i="1" s="1"/>
  <c r="K86" i="1"/>
  <c r="H3" i="1"/>
  <c r="H11" i="1"/>
  <c r="G20" i="1"/>
  <c r="K78" i="1"/>
  <c r="H33" i="1"/>
  <c r="K33" i="1" s="1"/>
  <c r="I41" i="1"/>
  <c r="K41" i="1" s="1"/>
  <c r="H56" i="1"/>
  <c r="K56" i="1" s="1"/>
  <c r="K80" i="1"/>
  <c r="K88" i="1"/>
  <c r="G60" i="1"/>
  <c r="H48" i="1"/>
  <c r="I3" i="1"/>
  <c r="I11" i="1"/>
  <c r="I59" i="1"/>
  <c r="I20" i="1"/>
  <c r="K20" i="1" s="1"/>
  <c r="H59" i="1"/>
  <c r="G95" i="1"/>
  <c r="G24" i="1"/>
  <c r="I17" i="1"/>
  <c r="K17" i="1" s="1"/>
  <c r="G51" i="1"/>
  <c r="J90" i="1"/>
  <c r="K43" i="1"/>
  <c r="K39" i="1"/>
  <c r="J12" i="1"/>
  <c r="J96" i="1"/>
  <c r="J78" i="1"/>
  <c r="K4" i="1"/>
  <c r="J47" i="1"/>
  <c r="J83" i="1"/>
  <c r="K35" i="1"/>
  <c r="J46" i="1"/>
  <c r="K28" i="1"/>
  <c r="J64" i="1"/>
  <c r="J31" i="1"/>
  <c r="K23" i="1"/>
  <c r="J55" i="1"/>
  <c r="J70" i="1"/>
  <c r="J86" i="1"/>
  <c r="I87" i="1"/>
  <c r="K87" i="1" s="1"/>
  <c r="K98" i="1"/>
  <c r="G17" i="1"/>
  <c r="I15" i="1"/>
  <c r="K19" i="1"/>
  <c r="J54" i="1"/>
  <c r="G71" i="1"/>
  <c r="G87" i="1"/>
  <c r="H71" i="1"/>
  <c r="K71" i="1" s="1"/>
  <c r="K66" i="1"/>
  <c r="K90" i="1"/>
  <c r="I45" i="1"/>
  <c r="K36" i="1"/>
  <c r="H52" i="1"/>
  <c r="K52" i="1" s="1"/>
  <c r="K72" i="1"/>
  <c r="J82" i="1"/>
  <c r="H13" i="1"/>
  <c r="K40" i="1"/>
  <c r="K16" i="1"/>
  <c r="I51" i="1"/>
  <c r="K51" i="1" s="1"/>
  <c r="J58" i="1"/>
  <c r="J67" i="1"/>
  <c r="J98" i="1"/>
  <c r="H95" i="1"/>
  <c r="K95" i="1" s="1"/>
  <c r="K8" i="1"/>
  <c r="K27" i="1"/>
  <c r="J35" i="1"/>
  <c r="J39" i="1"/>
  <c r="J43" i="1"/>
  <c r="K99" i="1"/>
  <c r="K32" i="1"/>
  <c r="K44" i="1"/>
  <c r="G52" i="1"/>
  <c r="J80" i="1"/>
  <c r="J92" i="1"/>
  <c r="K47" i="1"/>
  <c r="J50" i="1"/>
  <c r="K83" i="1"/>
  <c r="J74" i="1"/>
  <c r="I13" i="1"/>
  <c r="J27" i="1"/>
  <c r="K75" i="1"/>
  <c r="K91" i="1"/>
  <c r="J68" i="1"/>
  <c r="J76" i="1"/>
  <c r="J84" i="1"/>
  <c r="J100" i="1"/>
  <c r="I22" i="1"/>
  <c r="G22" i="1"/>
  <c r="H22" i="1"/>
  <c r="K31" i="1"/>
  <c r="I49" i="1"/>
  <c r="G49" i="1"/>
  <c r="H49" i="1"/>
  <c r="K55" i="1"/>
  <c r="J94" i="1"/>
  <c r="K74" i="1"/>
  <c r="G5" i="1"/>
  <c r="H5" i="1"/>
  <c r="I5" i="1"/>
  <c r="I14" i="1"/>
  <c r="G14" i="1"/>
  <c r="H14" i="1"/>
  <c r="I10" i="1"/>
  <c r="G10" i="1"/>
  <c r="H10" i="1"/>
  <c r="G65" i="1"/>
  <c r="H65" i="1"/>
  <c r="I65" i="1"/>
  <c r="J28" i="1"/>
  <c r="K68" i="1"/>
  <c r="K96" i="1"/>
  <c r="J4" i="1"/>
  <c r="G9" i="1"/>
  <c r="H9" i="1"/>
  <c r="I9" i="1"/>
  <c r="I18" i="1"/>
  <c r="G18" i="1"/>
  <c r="H18" i="1"/>
  <c r="J99" i="1"/>
  <c r="J8" i="1"/>
  <c r="K100" i="1"/>
  <c r="I57" i="1"/>
  <c r="G57" i="1"/>
  <c r="H57" i="1"/>
  <c r="G26" i="1"/>
  <c r="H26" i="1"/>
  <c r="I26" i="1"/>
  <c r="J62" i="1"/>
  <c r="L62" i="1" s="1"/>
  <c r="J75" i="1"/>
  <c r="I6" i="1"/>
  <c r="G6" i="1"/>
  <c r="H6" i="1"/>
  <c r="H73" i="1"/>
  <c r="G73" i="1"/>
  <c r="I73" i="1"/>
  <c r="H81" i="1"/>
  <c r="G81" i="1"/>
  <c r="I81" i="1"/>
  <c r="G89" i="1"/>
  <c r="H89" i="1"/>
  <c r="I89" i="1"/>
  <c r="G97" i="1"/>
  <c r="H97" i="1"/>
  <c r="I97" i="1"/>
  <c r="G30" i="1"/>
  <c r="H30" i="1"/>
  <c r="I30" i="1"/>
  <c r="J36" i="1"/>
  <c r="G38" i="1"/>
  <c r="H38" i="1"/>
  <c r="I38" i="1"/>
  <c r="J44" i="1"/>
  <c r="J23" i="1"/>
  <c r="J16" i="1"/>
  <c r="J19" i="1"/>
  <c r="K12" i="1"/>
  <c r="G21" i="1"/>
  <c r="H21" i="1"/>
  <c r="I21" i="1"/>
  <c r="K46" i="1"/>
  <c r="K50" i="1"/>
  <c r="K54" i="1"/>
  <c r="K58" i="1"/>
  <c r="K64" i="1"/>
  <c r="K84" i="1"/>
  <c r="G25" i="1"/>
  <c r="H25" i="1"/>
  <c r="I25" i="1"/>
  <c r="J91" i="1"/>
  <c r="G61" i="1"/>
  <c r="H61" i="1"/>
  <c r="I61" i="1"/>
  <c r="H69" i="1"/>
  <c r="G69" i="1"/>
  <c r="I69" i="1"/>
  <c r="G77" i="1"/>
  <c r="H77" i="1"/>
  <c r="I77" i="1"/>
  <c r="G85" i="1"/>
  <c r="H85" i="1"/>
  <c r="I85" i="1"/>
  <c r="H93" i="1"/>
  <c r="G93" i="1"/>
  <c r="I93" i="1"/>
  <c r="H101" i="1"/>
  <c r="G101" i="1"/>
  <c r="I101" i="1"/>
  <c r="J32" i="1"/>
  <c r="G34" i="1"/>
  <c r="H34" i="1"/>
  <c r="I34" i="1"/>
  <c r="J40" i="1"/>
  <c r="G42" i="1"/>
  <c r="H42" i="1"/>
  <c r="I42" i="1"/>
  <c r="J72" i="1"/>
  <c r="J88" i="1"/>
  <c r="I53" i="1"/>
  <c r="G53" i="1"/>
  <c r="H53" i="1"/>
  <c r="E2" i="1"/>
  <c r="H2" i="1" s="1"/>
  <c r="F2" i="1"/>
  <c r="L70" i="1" l="1"/>
  <c r="J60" i="1"/>
  <c r="L60" i="1" s="1"/>
  <c r="J63" i="1"/>
  <c r="L63" i="1" s="1"/>
  <c r="L76" i="1"/>
  <c r="L82" i="1"/>
  <c r="L66" i="1"/>
  <c r="J37" i="1"/>
  <c r="L37" i="1" s="1"/>
  <c r="L92" i="1"/>
  <c r="J29" i="1"/>
  <c r="L29" i="1" s="1"/>
  <c r="J45" i="1"/>
  <c r="L94" i="1"/>
  <c r="J15" i="1"/>
  <c r="K7" i="1"/>
  <c r="L86" i="1"/>
  <c r="J79" i="1"/>
  <c r="K79" i="1"/>
  <c r="J48" i="1"/>
  <c r="J7" i="1"/>
  <c r="L67" i="1"/>
  <c r="L39" i="1"/>
  <c r="L88" i="1"/>
  <c r="J33" i="1"/>
  <c r="L33" i="1" s="1"/>
  <c r="J24" i="1"/>
  <c r="L24" i="1" s="1"/>
  <c r="L80" i="1"/>
  <c r="L78" i="1"/>
  <c r="K11" i="1"/>
  <c r="J41" i="1"/>
  <c r="L41" i="1" s="1"/>
  <c r="K3" i="1"/>
  <c r="L90" i="1"/>
  <c r="K59" i="1"/>
  <c r="J20" i="1"/>
  <c r="L20" i="1" s="1"/>
  <c r="J17" i="1"/>
  <c r="L17" i="1" s="1"/>
  <c r="L84" i="1"/>
  <c r="J59" i="1"/>
  <c r="J56" i="1"/>
  <c r="L56" i="1" s="1"/>
  <c r="K48" i="1"/>
  <c r="J11" i="1"/>
  <c r="J51" i="1"/>
  <c r="L51" i="1" s="1"/>
  <c r="J3" i="1"/>
  <c r="L35" i="1"/>
  <c r="L32" i="1"/>
  <c r="L4" i="1"/>
  <c r="L43" i="1"/>
  <c r="L100" i="1"/>
  <c r="L19" i="1"/>
  <c r="L68" i="1"/>
  <c r="L47" i="1"/>
  <c r="L96" i="1"/>
  <c r="L74" i="1"/>
  <c r="L12" i="1"/>
  <c r="L31" i="1"/>
  <c r="L55" i="1"/>
  <c r="L50" i="1"/>
  <c r="K45" i="1"/>
  <c r="K5" i="1"/>
  <c r="L99" i="1"/>
  <c r="L64" i="1"/>
  <c r="L83" i="1"/>
  <c r="K6" i="1"/>
  <c r="K34" i="1"/>
  <c r="L54" i="1"/>
  <c r="K73" i="1"/>
  <c r="J71" i="1"/>
  <c r="L71" i="1" s="1"/>
  <c r="K15" i="1"/>
  <c r="K22" i="1"/>
  <c r="L91" i="1"/>
  <c r="J13" i="1"/>
  <c r="L8" i="1"/>
  <c r="L27" i="1"/>
  <c r="L46" i="1"/>
  <c r="K65" i="1"/>
  <c r="L58" i="1"/>
  <c r="L75" i="1"/>
  <c r="L44" i="1"/>
  <c r="L36" i="1"/>
  <c r="L98" i="1"/>
  <c r="L28" i="1"/>
  <c r="L40" i="1"/>
  <c r="L72" i="1"/>
  <c r="J89" i="1"/>
  <c r="J81" i="1"/>
  <c r="L16" i="1"/>
  <c r="L23" i="1"/>
  <c r="J53" i="1"/>
  <c r="J42" i="1"/>
  <c r="J30" i="1"/>
  <c r="K61" i="1"/>
  <c r="K26" i="1"/>
  <c r="K18" i="1"/>
  <c r="K10" i="1"/>
  <c r="J87" i="1"/>
  <c r="L87" i="1" s="1"/>
  <c r="K85" i="1"/>
  <c r="J97" i="1"/>
  <c r="J52" i="1"/>
  <c r="L52" i="1" s="1"/>
  <c r="K69" i="1"/>
  <c r="J25" i="1"/>
  <c r="K13" i="1"/>
  <c r="J21" i="1"/>
  <c r="K81" i="1"/>
  <c r="J49" i="1"/>
  <c r="K101" i="1"/>
  <c r="K93" i="1"/>
  <c r="J73" i="1"/>
  <c r="J57" i="1"/>
  <c r="J9" i="1"/>
  <c r="J95" i="1"/>
  <c r="L95" i="1" s="1"/>
  <c r="K42" i="1"/>
  <c r="K77" i="1"/>
  <c r="K38" i="1"/>
  <c r="K30" i="1"/>
  <c r="L30" i="1" s="1"/>
  <c r="K89" i="1"/>
  <c r="K53" i="1"/>
  <c r="L53" i="1" s="1"/>
  <c r="J34" i="1"/>
  <c r="K25" i="1"/>
  <c r="J6" i="1"/>
  <c r="K9" i="1"/>
  <c r="K57" i="1"/>
  <c r="J14" i="1"/>
  <c r="J101" i="1"/>
  <c r="J93" i="1"/>
  <c r="J85" i="1"/>
  <c r="J77" i="1"/>
  <c r="J69" i="1"/>
  <c r="J61" i="1"/>
  <c r="K21" i="1"/>
  <c r="J18" i="1"/>
  <c r="J22" i="1"/>
  <c r="K97" i="1"/>
  <c r="K49" i="1"/>
  <c r="J38" i="1"/>
  <c r="J26" i="1"/>
  <c r="K14" i="1"/>
  <c r="J65" i="1"/>
  <c r="J10" i="1"/>
  <c r="J5" i="1"/>
  <c r="I2" i="1"/>
  <c r="G2" i="1"/>
  <c r="O2" i="1"/>
  <c r="L22" i="1" l="1"/>
  <c r="L79" i="1"/>
  <c r="L48" i="1"/>
  <c r="L45" i="1"/>
  <c r="L15" i="1"/>
  <c r="L7" i="1"/>
  <c r="L59" i="1"/>
  <c r="L11" i="1"/>
  <c r="L3" i="1"/>
  <c r="L5" i="1"/>
  <c r="L6" i="1"/>
  <c r="L34" i="1"/>
  <c r="L85" i="1"/>
  <c r="L61" i="1"/>
  <c r="L73" i="1"/>
  <c r="L89" i="1"/>
  <c r="L42" i="1"/>
  <c r="L14" i="1"/>
  <c r="L81" i="1"/>
  <c r="L21" i="1"/>
  <c r="L38" i="1"/>
  <c r="L13" i="1"/>
  <c r="L97" i="1"/>
  <c r="L9" i="1"/>
  <c r="L77" i="1"/>
  <c r="L26" i="1"/>
  <c r="L69" i="1"/>
  <c r="L25" i="1"/>
  <c r="L93" i="1"/>
  <c r="L10" i="1"/>
  <c r="L49" i="1"/>
  <c r="L57" i="1"/>
  <c r="L101" i="1"/>
  <c r="L18" i="1"/>
  <c r="L65" i="1"/>
  <c r="J2" i="1"/>
  <c r="K2" i="1"/>
  <c r="N2" i="1"/>
  <c r="L2" i="1" l="1"/>
</calcChain>
</file>

<file path=xl/sharedStrings.xml><?xml version="1.0" encoding="utf-8"?>
<sst xmlns="http://schemas.openxmlformats.org/spreadsheetml/2006/main" count="17" uniqueCount="16">
  <si>
    <t>Noise</t>
  </si>
  <si>
    <t>U</t>
  </si>
  <si>
    <t>S</t>
  </si>
  <si>
    <t>Gravity</t>
  </si>
  <si>
    <t>Velocity</t>
  </si>
  <si>
    <t>Row_num</t>
  </si>
  <si>
    <t>Max_Time</t>
  </si>
  <si>
    <t>Timer</t>
  </si>
  <si>
    <t>Clock</t>
  </si>
  <si>
    <t>Initial_vel</t>
  </si>
  <si>
    <t>Max_height</t>
  </si>
  <si>
    <t>Final UP Time</t>
  </si>
  <si>
    <t>Up Dist</t>
  </si>
  <si>
    <t>Down Dist</t>
  </si>
  <si>
    <t>ball_count</t>
  </si>
  <si>
    <t>Time_steps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</si>
</sst>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2" fontId="0" fillId="0" borderId="4" xfId="0" applyNumberForma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data!$L$2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data!$A$3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data!$L$3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data!$A$4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data!$L$4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data!$A$5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data!$L$5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data!$A$6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data!$L$6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data!$A$7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data!$L$7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data!$A$8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data!$L$8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data!$A$9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data!$L$9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data!$A$10</c:f>
              <c:numCache>
                <c:formatCode>General</c:formatCode>
                <c:ptCount val="1"/>
                <c:pt idx="0">
                  <c:v>9</c:v>
                </c:pt>
              </c:numCache>
            </c:numRef>
          </c:xVal>
          <c:yVal>
            <c:numRef>
              <c:f>data!$L$10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data!$A$11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data!$L$11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data!$A$12</c:f>
              <c:numCache>
                <c:formatCode>General</c:formatCode>
                <c:ptCount val="1"/>
                <c:pt idx="0">
                  <c:v>11</c:v>
                </c:pt>
              </c:numCache>
            </c:numRef>
          </c:xVal>
          <c:yVal>
            <c:numRef>
              <c:f>data!$L$12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data!$A$13</c:f>
              <c:numCache>
                <c:formatCode>General</c:formatCode>
                <c:ptCount val="1"/>
                <c:pt idx="0">
                  <c:v>12</c:v>
                </c:pt>
              </c:numCache>
            </c:numRef>
          </c:xVal>
          <c:yVal>
            <c:numRef>
              <c:f>data!$L$13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data!$A$14</c:f>
              <c:numCache>
                <c:formatCode>General</c:formatCode>
                <c:ptCount val="1"/>
                <c:pt idx="0">
                  <c:v>13</c:v>
                </c:pt>
              </c:numCache>
            </c:numRef>
          </c:xVal>
          <c:yVal>
            <c:numRef>
              <c:f>data!$L$14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data!$A$15</c:f>
              <c:numCache>
                <c:formatCode>General</c:formatCode>
                <c:ptCount val="1"/>
                <c:pt idx="0">
                  <c:v>14</c:v>
                </c:pt>
              </c:numCache>
            </c:numRef>
          </c:xVal>
          <c:yVal>
            <c:numRef>
              <c:f>data!$L$15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data!$A$16</c:f>
              <c:numCache>
                <c:formatCode>General</c:formatCode>
                <c:ptCount val="1"/>
                <c:pt idx="0">
                  <c:v>15</c:v>
                </c:pt>
              </c:numCache>
            </c:numRef>
          </c:xVal>
          <c:yVal>
            <c:numRef>
              <c:f>data!$L$16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data!$A$17</c:f>
              <c:numCache>
                <c:formatCode>General</c:formatCode>
                <c:ptCount val="1"/>
                <c:pt idx="0">
                  <c:v>16</c:v>
                </c:pt>
              </c:numCache>
            </c:numRef>
          </c:xVal>
          <c:yVal>
            <c:numRef>
              <c:f>data!$L$17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data!$A$18</c:f>
              <c:numCache>
                <c:formatCode>General</c:formatCode>
                <c:ptCount val="1"/>
                <c:pt idx="0">
                  <c:v>17</c:v>
                </c:pt>
              </c:numCache>
            </c:numRef>
          </c:xVal>
          <c:yVal>
            <c:numRef>
              <c:f>data!$L$18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data!$A$19</c:f>
              <c:numCache>
                <c:formatCode>General</c:formatCode>
                <c:ptCount val="1"/>
                <c:pt idx="0">
                  <c:v>18</c:v>
                </c:pt>
              </c:numCache>
            </c:numRef>
          </c:xVal>
          <c:yVal>
            <c:numRef>
              <c:f>data!$L$19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data!$A$20</c:f>
              <c:numCache>
                <c:formatCode>General</c:formatCode>
                <c:ptCount val="1"/>
                <c:pt idx="0">
                  <c:v>19</c:v>
                </c:pt>
              </c:numCache>
            </c:numRef>
          </c:xVal>
          <c:yVal>
            <c:numRef>
              <c:f>data!$L$20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data!$A$21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data!$L$21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20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data!$A$22</c:f>
              <c:numCache>
                <c:formatCode>General</c:formatCode>
                <c:ptCount val="1"/>
                <c:pt idx="0">
                  <c:v>21</c:v>
                </c:pt>
              </c:numCache>
            </c:numRef>
          </c:xVal>
          <c:yVal>
            <c:numRef>
              <c:f>data!$L$22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21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data!$A$23</c:f>
              <c:numCache>
                <c:formatCode>General</c:formatCode>
                <c:ptCount val="1"/>
                <c:pt idx="0">
                  <c:v>22</c:v>
                </c:pt>
              </c:numCache>
            </c:numRef>
          </c:xVal>
          <c:yVal>
            <c:numRef>
              <c:f>data!$L$23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22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data!$A$24</c:f>
              <c:numCache>
                <c:formatCode>General</c:formatCode>
                <c:ptCount val="1"/>
                <c:pt idx="0">
                  <c:v>23</c:v>
                </c:pt>
              </c:numCache>
            </c:numRef>
          </c:xVal>
          <c:yVal>
            <c:numRef>
              <c:f>data!$L$24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23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data!$A$25</c:f>
              <c:numCache>
                <c:formatCode>General</c:formatCode>
                <c:ptCount val="1"/>
                <c:pt idx="0">
                  <c:v>24</c:v>
                </c:pt>
              </c:numCache>
            </c:numRef>
          </c:xVal>
          <c:yVal>
            <c:numRef>
              <c:f>data!$L$25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24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data!$A$26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data!$L$26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5"/>
          <c:order val="25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data!$A$27</c:f>
              <c:numCache>
                <c:formatCode>General</c:formatCode>
                <c:ptCount val="1"/>
                <c:pt idx="0">
                  <c:v>26</c:v>
                </c:pt>
              </c:numCache>
            </c:numRef>
          </c:xVal>
          <c:yVal>
            <c:numRef>
              <c:f>data!$L$27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6"/>
          <c:order val="26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data!$A$28</c:f>
              <c:numCache>
                <c:formatCode>General</c:formatCode>
                <c:ptCount val="1"/>
                <c:pt idx="0">
                  <c:v>27</c:v>
                </c:pt>
              </c:numCache>
            </c:numRef>
          </c:xVal>
          <c:yVal>
            <c:numRef>
              <c:f>data!$L$28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7"/>
          <c:order val="27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data!$A$29</c:f>
              <c:numCache>
                <c:formatCode>General</c:formatCode>
                <c:ptCount val="1"/>
                <c:pt idx="0">
                  <c:v>28</c:v>
                </c:pt>
              </c:numCache>
            </c:numRef>
          </c:xVal>
          <c:yVal>
            <c:numRef>
              <c:f>data!$L$29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8"/>
          <c:order val="28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data!$A$30</c:f>
              <c:numCache>
                <c:formatCode>General</c:formatCode>
                <c:ptCount val="1"/>
                <c:pt idx="0">
                  <c:v>29</c:v>
                </c:pt>
              </c:numCache>
            </c:numRef>
          </c:xVal>
          <c:yVal>
            <c:numRef>
              <c:f>data!$L$30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9"/>
          <c:order val="29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data!$A$31</c:f>
              <c:numCache>
                <c:formatCode>General</c:formatCode>
                <c:ptCount val="1"/>
                <c:pt idx="0">
                  <c:v>30</c:v>
                </c:pt>
              </c:numCache>
            </c:numRef>
          </c:xVal>
          <c:yVal>
            <c:numRef>
              <c:f>data!$L$31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0"/>
          <c:order val="30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data!$A$32</c:f>
              <c:numCache>
                <c:formatCode>General</c:formatCode>
                <c:ptCount val="1"/>
                <c:pt idx="0">
                  <c:v>31</c:v>
                </c:pt>
              </c:numCache>
            </c:numRef>
          </c:xVal>
          <c:yVal>
            <c:numRef>
              <c:f>data!$L$32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1"/>
          <c:order val="31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data!$A$33</c:f>
              <c:numCache>
                <c:formatCode>General</c:formatCode>
                <c:ptCount val="1"/>
                <c:pt idx="0">
                  <c:v>32</c:v>
                </c:pt>
              </c:numCache>
            </c:numRef>
          </c:xVal>
          <c:yVal>
            <c:numRef>
              <c:f>data!$L$33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2"/>
          <c:order val="32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data!$A$34</c:f>
              <c:numCache>
                <c:formatCode>General</c:formatCode>
                <c:ptCount val="1"/>
                <c:pt idx="0">
                  <c:v>33</c:v>
                </c:pt>
              </c:numCache>
            </c:numRef>
          </c:xVal>
          <c:yVal>
            <c:numRef>
              <c:f>data!$L$34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3"/>
          <c:order val="33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data!$A$35</c:f>
              <c:numCache>
                <c:formatCode>General</c:formatCode>
                <c:ptCount val="1"/>
                <c:pt idx="0">
                  <c:v>34</c:v>
                </c:pt>
              </c:numCache>
            </c:numRef>
          </c:xVal>
          <c:yVal>
            <c:numRef>
              <c:f>data!$L$35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4"/>
          <c:order val="34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data!$A$36</c:f>
              <c:numCache>
                <c:formatCode>General</c:formatCode>
                <c:ptCount val="1"/>
                <c:pt idx="0">
                  <c:v>35</c:v>
                </c:pt>
              </c:numCache>
            </c:numRef>
          </c:xVal>
          <c:yVal>
            <c:numRef>
              <c:f>data!$L$36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5"/>
          <c:order val="35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data!$A$37</c:f>
              <c:numCache>
                <c:formatCode>General</c:formatCode>
                <c:ptCount val="1"/>
                <c:pt idx="0">
                  <c:v>36</c:v>
                </c:pt>
              </c:numCache>
            </c:numRef>
          </c:xVal>
          <c:yVal>
            <c:numRef>
              <c:f>data!$L$37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6"/>
          <c:order val="36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data!$A$38</c:f>
              <c:numCache>
                <c:formatCode>General</c:formatCode>
                <c:ptCount val="1"/>
                <c:pt idx="0">
                  <c:v>37</c:v>
                </c:pt>
              </c:numCache>
            </c:numRef>
          </c:xVal>
          <c:yVal>
            <c:numRef>
              <c:f>data!$L$38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7"/>
          <c:order val="37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data!$A$39</c:f>
              <c:numCache>
                <c:formatCode>General</c:formatCode>
                <c:ptCount val="1"/>
                <c:pt idx="0">
                  <c:v>38</c:v>
                </c:pt>
              </c:numCache>
            </c:numRef>
          </c:xVal>
          <c:yVal>
            <c:numRef>
              <c:f>data!$L$39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8"/>
          <c:order val="38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data!$A$40</c:f>
              <c:numCache>
                <c:formatCode>General</c:formatCode>
                <c:ptCount val="1"/>
                <c:pt idx="0">
                  <c:v>39</c:v>
                </c:pt>
              </c:numCache>
            </c:numRef>
          </c:xVal>
          <c:yVal>
            <c:numRef>
              <c:f>data!$L$40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9"/>
          <c:order val="39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data!$A$41</c:f>
              <c:numCache>
                <c:formatCode>General</c:formatCode>
                <c:ptCount val="1"/>
                <c:pt idx="0">
                  <c:v>40</c:v>
                </c:pt>
              </c:numCache>
            </c:numRef>
          </c:xVal>
          <c:yVal>
            <c:numRef>
              <c:f>data!$L$41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0"/>
          <c:order val="40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data!$A$42</c:f>
              <c:numCache>
                <c:formatCode>General</c:formatCode>
                <c:ptCount val="1"/>
                <c:pt idx="0">
                  <c:v>41</c:v>
                </c:pt>
              </c:numCache>
            </c:numRef>
          </c:xVal>
          <c:yVal>
            <c:numRef>
              <c:f>data!$L$42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1"/>
          <c:order val="41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data!$A$43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data!$L$43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2"/>
          <c:order val="42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data!$A$44</c:f>
              <c:numCache>
                <c:formatCode>General</c:formatCode>
                <c:ptCount val="1"/>
                <c:pt idx="0">
                  <c:v>43</c:v>
                </c:pt>
              </c:numCache>
            </c:numRef>
          </c:xVal>
          <c:yVal>
            <c:numRef>
              <c:f>data!$L$44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3"/>
          <c:order val="43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data!$A$45</c:f>
              <c:numCache>
                <c:formatCode>General</c:formatCode>
                <c:ptCount val="1"/>
                <c:pt idx="0">
                  <c:v>44</c:v>
                </c:pt>
              </c:numCache>
            </c:numRef>
          </c:xVal>
          <c:yVal>
            <c:numRef>
              <c:f>data!$L$45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4"/>
          <c:order val="44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data!$A$46</c:f>
              <c:numCache>
                <c:formatCode>General</c:formatCode>
                <c:ptCount val="1"/>
                <c:pt idx="0">
                  <c:v>45</c:v>
                </c:pt>
              </c:numCache>
            </c:numRef>
          </c:xVal>
          <c:yVal>
            <c:numRef>
              <c:f>data!$L$46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5"/>
          <c:order val="45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data!$A$47</c:f>
              <c:numCache>
                <c:formatCode>General</c:formatCode>
                <c:ptCount val="1"/>
                <c:pt idx="0">
                  <c:v>46</c:v>
                </c:pt>
              </c:numCache>
            </c:numRef>
          </c:xVal>
          <c:yVal>
            <c:numRef>
              <c:f>data!$L$47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6"/>
          <c:order val="46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data!$A$48</c:f>
              <c:numCache>
                <c:formatCode>General</c:formatCode>
                <c:ptCount val="1"/>
                <c:pt idx="0">
                  <c:v>47</c:v>
                </c:pt>
              </c:numCache>
            </c:numRef>
          </c:xVal>
          <c:yVal>
            <c:numRef>
              <c:f>data!$L$48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7"/>
          <c:order val="47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data!$A$49</c:f>
              <c:numCache>
                <c:formatCode>General</c:formatCode>
                <c:ptCount val="1"/>
                <c:pt idx="0">
                  <c:v>48</c:v>
                </c:pt>
              </c:numCache>
            </c:numRef>
          </c:xVal>
          <c:yVal>
            <c:numRef>
              <c:f>data!$L$49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8"/>
          <c:order val="48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data!$A$50</c:f>
              <c:numCache>
                <c:formatCode>General</c:formatCode>
                <c:ptCount val="1"/>
                <c:pt idx="0">
                  <c:v>49</c:v>
                </c:pt>
              </c:numCache>
            </c:numRef>
          </c:xVal>
          <c:yVal>
            <c:numRef>
              <c:f>data!$L$50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9"/>
          <c:order val="49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data!$A$51</c:f>
              <c:numCache>
                <c:formatCode>General</c:formatCode>
                <c:ptCount val="1"/>
                <c:pt idx="0">
                  <c:v>50</c:v>
                </c:pt>
              </c:numCache>
            </c:numRef>
          </c:xVal>
          <c:yVal>
            <c:numRef>
              <c:f>data!$L$51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0"/>
          <c:order val="50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data!$A$52</c:f>
              <c:numCache>
                <c:formatCode>General</c:formatCode>
                <c:ptCount val="1"/>
                <c:pt idx="0">
                  <c:v>51</c:v>
                </c:pt>
              </c:numCache>
            </c:numRef>
          </c:xVal>
          <c:yVal>
            <c:numRef>
              <c:f>data!$L$52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1"/>
          <c:order val="51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data!$A$53</c:f>
              <c:numCache>
                <c:formatCode>General</c:formatCode>
                <c:ptCount val="1"/>
                <c:pt idx="0">
                  <c:v>52</c:v>
                </c:pt>
              </c:numCache>
            </c:numRef>
          </c:xVal>
          <c:yVal>
            <c:numRef>
              <c:f>data!$L$53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2"/>
          <c:order val="52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data!$A$54</c:f>
              <c:numCache>
                <c:formatCode>General</c:formatCode>
                <c:ptCount val="1"/>
                <c:pt idx="0">
                  <c:v>53</c:v>
                </c:pt>
              </c:numCache>
            </c:numRef>
          </c:xVal>
          <c:yVal>
            <c:numRef>
              <c:f>data!$L$54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3"/>
          <c:order val="53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data!$A$55</c:f>
              <c:numCache>
                <c:formatCode>General</c:formatCode>
                <c:ptCount val="1"/>
                <c:pt idx="0">
                  <c:v>54</c:v>
                </c:pt>
              </c:numCache>
            </c:numRef>
          </c:xVal>
          <c:yVal>
            <c:numRef>
              <c:f>data!$L$55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4"/>
          <c:order val="54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data!$A$56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data!$L$56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5"/>
          <c:order val="55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data!$A$57</c:f>
              <c:numCache>
                <c:formatCode>General</c:formatCode>
                <c:ptCount val="1"/>
                <c:pt idx="0">
                  <c:v>56</c:v>
                </c:pt>
              </c:numCache>
            </c:numRef>
          </c:xVal>
          <c:yVal>
            <c:numRef>
              <c:f>data!$L$57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6"/>
          <c:order val="56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data!$A$58</c:f>
              <c:numCache>
                <c:formatCode>General</c:formatCode>
                <c:ptCount val="1"/>
                <c:pt idx="0">
                  <c:v>57</c:v>
                </c:pt>
              </c:numCache>
            </c:numRef>
          </c:xVal>
          <c:yVal>
            <c:numRef>
              <c:f>data!$L$58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7"/>
          <c:order val="57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data!$A$59</c:f>
              <c:numCache>
                <c:formatCode>General</c:formatCode>
                <c:ptCount val="1"/>
                <c:pt idx="0">
                  <c:v>58</c:v>
                </c:pt>
              </c:numCache>
            </c:numRef>
          </c:xVal>
          <c:yVal>
            <c:numRef>
              <c:f>data!$L$59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8"/>
          <c:order val="58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data!$A$60</c:f>
              <c:numCache>
                <c:formatCode>General</c:formatCode>
                <c:ptCount val="1"/>
                <c:pt idx="0">
                  <c:v>59</c:v>
                </c:pt>
              </c:numCache>
            </c:numRef>
          </c:xVal>
          <c:yVal>
            <c:numRef>
              <c:f>data!$L$60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9"/>
          <c:order val="59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data!$A$61</c:f>
              <c:numCache>
                <c:formatCode>General</c:formatCode>
                <c:ptCount val="1"/>
                <c:pt idx="0">
                  <c:v>60</c:v>
                </c:pt>
              </c:numCache>
            </c:numRef>
          </c:xVal>
          <c:yVal>
            <c:numRef>
              <c:f>data!$L$61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0"/>
          <c:order val="60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data!$A$62</c:f>
              <c:numCache>
                <c:formatCode>General</c:formatCode>
                <c:ptCount val="1"/>
                <c:pt idx="0">
                  <c:v>61</c:v>
                </c:pt>
              </c:numCache>
            </c:numRef>
          </c:xVal>
          <c:yVal>
            <c:numRef>
              <c:f>data!$L$62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1"/>
          <c:order val="61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data!$A$63</c:f>
              <c:numCache>
                <c:formatCode>General</c:formatCode>
                <c:ptCount val="1"/>
                <c:pt idx="0">
                  <c:v>62</c:v>
                </c:pt>
              </c:numCache>
            </c:numRef>
          </c:xVal>
          <c:yVal>
            <c:numRef>
              <c:f>data!$L$63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2"/>
          <c:order val="62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data!$A$64</c:f>
              <c:numCache>
                <c:formatCode>General</c:formatCode>
                <c:ptCount val="1"/>
                <c:pt idx="0">
                  <c:v>63</c:v>
                </c:pt>
              </c:numCache>
            </c:numRef>
          </c:xVal>
          <c:yVal>
            <c:numRef>
              <c:f>data!$L$64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3"/>
          <c:order val="63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data!$A$65</c:f>
              <c:numCache>
                <c:formatCode>General</c:formatCode>
                <c:ptCount val="1"/>
                <c:pt idx="0">
                  <c:v>64</c:v>
                </c:pt>
              </c:numCache>
            </c:numRef>
          </c:xVal>
          <c:yVal>
            <c:numRef>
              <c:f>data!$L$65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4"/>
          <c:order val="64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data!$A$66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data!$L$66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5"/>
          <c:order val="65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data!$A$67</c:f>
              <c:numCache>
                <c:formatCode>General</c:formatCode>
                <c:ptCount val="1"/>
                <c:pt idx="0">
                  <c:v>66</c:v>
                </c:pt>
              </c:numCache>
            </c:numRef>
          </c:xVal>
          <c:yVal>
            <c:numRef>
              <c:f>data!$L$67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6"/>
          <c:order val="66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data!$A$68</c:f>
              <c:numCache>
                <c:formatCode>General</c:formatCode>
                <c:ptCount val="1"/>
                <c:pt idx="0">
                  <c:v>67</c:v>
                </c:pt>
              </c:numCache>
            </c:numRef>
          </c:xVal>
          <c:yVal>
            <c:numRef>
              <c:f>data!$L$68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7"/>
          <c:order val="67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data!$A$69</c:f>
              <c:numCache>
                <c:formatCode>General</c:formatCode>
                <c:ptCount val="1"/>
                <c:pt idx="0">
                  <c:v>68</c:v>
                </c:pt>
              </c:numCache>
            </c:numRef>
          </c:xVal>
          <c:yVal>
            <c:numRef>
              <c:f>data!$L$69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8"/>
          <c:order val="68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data!$A$70</c:f>
              <c:numCache>
                <c:formatCode>General</c:formatCode>
                <c:ptCount val="1"/>
                <c:pt idx="0">
                  <c:v>69</c:v>
                </c:pt>
              </c:numCache>
            </c:numRef>
          </c:xVal>
          <c:yVal>
            <c:numRef>
              <c:f>data!$L$70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9"/>
          <c:order val="69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data!$A$71</c:f>
              <c:numCache>
                <c:formatCode>General</c:formatCode>
                <c:ptCount val="1"/>
                <c:pt idx="0">
                  <c:v>70</c:v>
                </c:pt>
              </c:numCache>
            </c:numRef>
          </c:xVal>
          <c:yVal>
            <c:numRef>
              <c:f>data!$L$71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0"/>
          <c:order val="70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data!$A$72</c:f>
              <c:numCache>
                <c:formatCode>General</c:formatCode>
                <c:ptCount val="1"/>
                <c:pt idx="0">
                  <c:v>71</c:v>
                </c:pt>
              </c:numCache>
            </c:numRef>
          </c:xVal>
          <c:yVal>
            <c:numRef>
              <c:f>data!$L$72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1"/>
          <c:order val="71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data!$A$73</c:f>
              <c:numCache>
                <c:formatCode>General</c:formatCode>
                <c:ptCount val="1"/>
                <c:pt idx="0">
                  <c:v>72</c:v>
                </c:pt>
              </c:numCache>
            </c:numRef>
          </c:xVal>
          <c:yVal>
            <c:numRef>
              <c:f>data!$L$73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2"/>
          <c:order val="72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data!$A$74</c:f>
              <c:numCache>
                <c:formatCode>General</c:formatCode>
                <c:ptCount val="1"/>
                <c:pt idx="0">
                  <c:v>73</c:v>
                </c:pt>
              </c:numCache>
            </c:numRef>
          </c:xVal>
          <c:yVal>
            <c:numRef>
              <c:f>data!$L$74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3"/>
          <c:order val="73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data!$A$75</c:f>
              <c:numCache>
                <c:formatCode>General</c:formatCode>
                <c:ptCount val="1"/>
                <c:pt idx="0">
                  <c:v>74</c:v>
                </c:pt>
              </c:numCache>
            </c:numRef>
          </c:xVal>
          <c:yVal>
            <c:numRef>
              <c:f>data!$L$75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4"/>
          <c:order val="74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data!$A$76</c:f>
              <c:numCache>
                <c:formatCode>General</c:formatCode>
                <c:ptCount val="1"/>
                <c:pt idx="0">
                  <c:v>75</c:v>
                </c:pt>
              </c:numCache>
            </c:numRef>
          </c:xVal>
          <c:yVal>
            <c:numRef>
              <c:f>data!$L$76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5"/>
          <c:order val="75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data!$A$77</c:f>
              <c:numCache>
                <c:formatCode>General</c:formatCode>
                <c:ptCount val="1"/>
                <c:pt idx="0">
                  <c:v>76</c:v>
                </c:pt>
              </c:numCache>
            </c:numRef>
          </c:xVal>
          <c:yVal>
            <c:numRef>
              <c:f>data!$L$77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6"/>
          <c:order val="76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data!$A$78</c:f>
              <c:numCache>
                <c:formatCode>General</c:formatCode>
                <c:ptCount val="1"/>
                <c:pt idx="0">
                  <c:v>77</c:v>
                </c:pt>
              </c:numCache>
            </c:numRef>
          </c:xVal>
          <c:yVal>
            <c:numRef>
              <c:f>data!$L$78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7"/>
          <c:order val="77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data!$A$79</c:f>
              <c:numCache>
                <c:formatCode>General</c:formatCode>
                <c:ptCount val="1"/>
                <c:pt idx="0">
                  <c:v>78</c:v>
                </c:pt>
              </c:numCache>
            </c:numRef>
          </c:xVal>
          <c:yVal>
            <c:numRef>
              <c:f>data!$L$79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8"/>
          <c:order val="78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data!$A$80</c:f>
              <c:numCache>
                <c:formatCode>General</c:formatCode>
                <c:ptCount val="1"/>
                <c:pt idx="0">
                  <c:v>79</c:v>
                </c:pt>
              </c:numCache>
            </c:numRef>
          </c:xVal>
          <c:yVal>
            <c:numRef>
              <c:f>data!$L$80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9"/>
          <c:order val="79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data!$A$81</c:f>
              <c:numCache>
                <c:formatCode>General</c:formatCode>
                <c:ptCount val="1"/>
                <c:pt idx="0">
                  <c:v>80</c:v>
                </c:pt>
              </c:numCache>
            </c:numRef>
          </c:xVal>
          <c:yVal>
            <c:numRef>
              <c:f>data!$L$81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0"/>
          <c:order val="80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data!$A$82</c:f>
              <c:numCache>
                <c:formatCode>General</c:formatCode>
                <c:ptCount val="1"/>
                <c:pt idx="0">
                  <c:v>81</c:v>
                </c:pt>
              </c:numCache>
            </c:numRef>
          </c:xVal>
          <c:yVal>
            <c:numRef>
              <c:f>data!$L$82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1"/>
          <c:order val="81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data!$A$83</c:f>
              <c:numCache>
                <c:formatCode>General</c:formatCode>
                <c:ptCount val="1"/>
                <c:pt idx="0">
                  <c:v>82</c:v>
                </c:pt>
              </c:numCache>
            </c:numRef>
          </c:xVal>
          <c:yVal>
            <c:numRef>
              <c:f>data!$L$83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2"/>
          <c:order val="82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data!$A$84</c:f>
              <c:numCache>
                <c:formatCode>General</c:formatCode>
                <c:ptCount val="1"/>
                <c:pt idx="0">
                  <c:v>83</c:v>
                </c:pt>
              </c:numCache>
            </c:numRef>
          </c:xVal>
          <c:yVal>
            <c:numRef>
              <c:f>data!$L$84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3"/>
          <c:order val="83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data!$A$85</c:f>
              <c:numCache>
                <c:formatCode>General</c:formatCode>
                <c:ptCount val="1"/>
                <c:pt idx="0">
                  <c:v>84</c:v>
                </c:pt>
              </c:numCache>
            </c:numRef>
          </c:xVal>
          <c:yVal>
            <c:numRef>
              <c:f>data!$L$85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4"/>
          <c:order val="84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data!$A$86</c:f>
              <c:numCache>
                <c:formatCode>General</c:formatCode>
                <c:ptCount val="1"/>
                <c:pt idx="0">
                  <c:v>85</c:v>
                </c:pt>
              </c:numCache>
            </c:numRef>
          </c:xVal>
          <c:yVal>
            <c:numRef>
              <c:f>data!$L$86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5"/>
          <c:order val="85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data!$A$87</c:f>
              <c:numCache>
                <c:formatCode>General</c:formatCode>
                <c:ptCount val="1"/>
                <c:pt idx="0">
                  <c:v>86</c:v>
                </c:pt>
              </c:numCache>
            </c:numRef>
          </c:xVal>
          <c:yVal>
            <c:numRef>
              <c:f>data!$L$87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6"/>
          <c:order val="86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data!$A$88</c:f>
              <c:numCache>
                <c:formatCode>General</c:formatCode>
                <c:ptCount val="1"/>
                <c:pt idx="0">
                  <c:v>87</c:v>
                </c:pt>
              </c:numCache>
            </c:numRef>
          </c:xVal>
          <c:yVal>
            <c:numRef>
              <c:f>data!$L$88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7"/>
          <c:order val="87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data!$A$89</c:f>
              <c:numCache>
                <c:formatCode>General</c:formatCode>
                <c:ptCount val="1"/>
                <c:pt idx="0">
                  <c:v>88</c:v>
                </c:pt>
              </c:numCache>
            </c:numRef>
          </c:xVal>
          <c:yVal>
            <c:numRef>
              <c:f>data!$L$89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8"/>
          <c:order val="88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data!$A$90</c:f>
              <c:numCache>
                <c:formatCode>General</c:formatCode>
                <c:ptCount val="1"/>
                <c:pt idx="0">
                  <c:v>89</c:v>
                </c:pt>
              </c:numCache>
            </c:numRef>
          </c:xVal>
          <c:yVal>
            <c:numRef>
              <c:f>data!$L$90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9"/>
          <c:order val="89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data!$A$91</c:f>
              <c:numCache>
                <c:formatCode>General</c:formatCode>
                <c:ptCount val="1"/>
                <c:pt idx="0">
                  <c:v>90</c:v>
                </c:pt>
              </c:numCache>
            </c:numRef>
          </c:xVal>
          <c:yVal>
            <c:numRef>
              <c:f>data!$L$91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0"/>
          <c:order val="90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data!$A$92</c:f>
              <c:numCache>
                <c:formatCode>General</c:formatCode>
                <c:ptCount val="1"/>
                <c:pt idx="0">
                  <c:v>91</c:v>
                </c:pt>
              </c:numCache>
            </c:numRef>
          </c:xVal>
          <c:yVal>
            <c:numRef>
              <c:f>data!$L$92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1"/>
          <c:order val="91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data!$A$93</c:f>
              <c:numCache>
                <c:formatCode>General</c:formatCode>
                <c:ptCount val="1"/>
                <c:pt idx="0">
                  <c:v>92</c:v>
                </c:pt>
              </c:numCache>
            </c:numRef>
          </c:xVal>
          <c:yVal>
            <c:numRef>
              <c:f>data!$L$93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2"/>
          <c:order val="92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data!$A$94</c:f>
              <c:numCache>
                <c:formatCode>General</c:formatCode>
                <c:ptCount val="1"/>
                <c:pt idx="0">
                  <c:v>93</c:v>
                </c:pt>
              </c:numCache>
            </c:numRef>
          </c:xVal>
          <c:yVal>
            <c:numRef>
              <c:f>data!$L$94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3"/>
          <c:order val="93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data!$A$95</c:f>
              <c:numCache>
                <c:formatCode>General</c:formatCode>
                <c:ptCount val="1"/>
                <c:pt idx="0">
                  <c:v>94</c:v>
                </c:pt>
              </c:numCache>
            </c:numRef>
          </c:xVal>
          <c:yVal>
            <c:numRef>
              <c:f>data!$L$95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4"/>
          <c:order val="94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data!$A$96</c:f>
              <c:numCache>
                <c:formatCode>General</c:formatCode>
                <c:ptCount val="1"/>
                <c:pt idx="0">
                  <c:v>95</c:v>
                </c:pt>
              </c:numCache>
            </c:numRef>
          </c:xVal>
          <c:yVal>
            <c:numRef>
              <c:f>data!$L$96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5"/>
          <c:order val="95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data!$A$97</c:f>
              <c:numCache>
                <c:formatCode>General</c:formatCode>
                <c:ptCount val="1"/>
                <c:pt idx="0">
                  <c:v>96</c:v>
                </c:pt>
              </c:numCache>
            </c:numRef>
          </c:xVal>
          <c:yVal>
            <c:numRef>
              <c:f>data!$L$97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6"/>
          <c:order val="96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data!$A$98</c:f>
              <c:numCache>
                <c:formatCode>General</c:formatCode>
                <c:ptCount val="1"/>
                <c:pt idx="0">
                  <c:v>97</c:v>
                </c:pt>
              </c:numCache>
            </c:numRef>
          </c:xVal>
          <c:yVal>
            <c:numRef>
              <c:f>data!$L$98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7"/>
          <c:order val="97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data!$A$99</c:f>
              <c:numCache>
                <c:formatCode>General</c:formatCode>
                <c:ptCount val="1"/>
                <c:pt idx="0">
                  <c:v>98</c:v>
                </c:pt>
              </c:numCache>
            </c:numRef>
          </c:xVal>
          <c:yVal>
            <c:numRef>
              <c:f>data!$L$99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8"/>
          <c:order val="98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data!$A$100</c:f>
              <c:numCache>
                <c:formatCode>General</c:formatCode>
                <c:ptCount val="1"/>
                <c:pt idx="0">
                  <c:v>99</c:v>
                </c:pt>
              </c:numCache>
            </c:numRef>
          </c:xVal>
          <c:yVal>
            <c:numRef>
              <c:f>data!$L$100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9"/>
          <c:order val="99"/>
          <c:spPr>
            <a:ln w="66675">
              <a:noFill/>
            </a:ln>
          </c:spPr>
          <c:marker>
            <c:symbol val="circle"/>
            <c:size val="7"/>
          </c:marker>
          <c:xVal>
            <c:numRef>
              <c:f>data!$A$101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data!$L$101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0"/>
          <c:order val="100"/>
          <c:spPr>
            <a:ln w="66675">
              <a:noFill/>
            </a:ln>
          </c:spPr>
          <c:smooth val="0"/>
        </c:ser>
        <c:ser>
          <c:idx val="101"/>
          <c:order val="101"/>
          <c:spPr>
            <a:ln w="66675">
              <a:noFill/>
            </a:ln>
          </c:spPr>
          <c:smooth val="0"/>
        </c:ser>
        <c:ser>
          <c:idx val="102"/>
          <c:order val="102"/>
          <c:spPr>
            <a:ln w="66675">
              <a:noFill/>
            </a:ln>
          </c:spPr>
          <c:smooth val="0"/>
        </c:ser>
        <c:ser>
          <c:idx val="103"/>
          <c:order val="103"/>
          <c:spPr>
            <a:ln w="66675">
              <a:noFill/>
            </a:ln>
          </c:spPr>
          <c:smooth val="0"/>
        </c:ser>
        <c:ser>
          <c:idx val="104"/>
          <c:order val="104"/>
          <c:spPr>
            <a:ln w="66675">
              <a:noFill/>
            </a:ln>
          </c:spPr>
          <c:smooth val="0"/>
        </c:ser>
        <c:ser>
          <c:idx val="105"/>
          <c:order val="105"/>
          <c:spPr>
            <a:ln w="66675">
              <a:noFill/>
            </a:ln>
          </c:spPr>
          <c:smooth val="0"/>
        </c:ser>
        <c:ser>
          <c:idx val="106"/>
          <c:order val="106"/>
          <c:spPr>
            <a:ln w="66675">
              <a:noFill/>
            </a:ln>
          </c:spPr>
          <c:smooth val="0"/>
        </c:ser>
        <c:ser>
          <c:idx val="107"/>
          <c:order val="107"/>
          <c:spPr>
            <a:ln w="66675">
              <a:noFill/>
            </a:ln>
          </c:spPr>
          <c:smooth val="0"/>
        </c:ser>
        <c:ser>
          <c:idx val="108"/>
          <c:order val="108"/>
          <c:spPr>
            <a:ln w="66675">
              <a:noFill/>
            </a:ln>
          </c:spPr>
          <c:smooth val="0"/>
        </c:ser>
        <c:ser>
          <c:idx val="109"/>
          <c:order val="109"/>
          <c:spPr>
            <a:ln w="66675">
              <a:noFill/>
            </a:ln>
          </c:spPr>
          <c:smooth val="0"/>
        </c:ser>
        <c:ser>
          <c:idx val="110"/>
          <c:order val="110"/>
          <c:spPr>
            <a:ln w="66675">
              <a:noFill/>
            </a:ln>
          </c:spPr>
          <c:smooth val="0"/>
        </c:ser>
        <c:ser>
          <c:idx val="111"/>
          <c:order val="111"/>
          <c:spPr>
            <a:ln w="66675">
              <a:noFill/>
            </a:ln>
          </c:spPr>
          <c:smooth val="0"/>
        </c:ser>
        <c:ser>
          <c:idx val="112"/>
          <c:order val="112"/>
          <c:spPr>
            <a:ln w="66675">
              <a:noFill/>
            </a:ln>
          </c:spPr>
          <c:smooth val="0"/>
        </c:ser>
        <c:ser>
          <c:idx val="113"/>
          <c:order val="113"/>
          <c:spPr>
            <a:ln w="66675">
              <a:noFill/>
            </a:ln>
          </c:spPr>
          <c:smooth val="0"/>
        </c:ser>
        <c:ser>
          <c:idx val="114"/>
          <c:order val="114"/>
          <c:spPr>
            <a:ln w="66675">
              <a:noFill/>
            </a:ln>
          </c:spPr>
          <c:smooth val="0"/>
        </c:ser>
        <c:ser>
          <c:idx val="115"/>
          <c:order val="115"/>
          <c:spPr>
            <a:ln w="66675">
              <a:noFill/>
            </a:ln>
          </c:spPr>
          <c:smooth val="0"/>
        </c:ser>
        <c:ser>
          <c:idx val="116"/>
          <c:order val="116"/>
          <c:spPr>
            <a:ln w="66675">
              <a:noFill/>
            </a:ln>
          </c:spPr>
          <c:smooth val="0"/>
        </c:ser>
        <c:ser>
          <c:idx val="117"/>
          <c:order val="117"/>
          <c:spPr>
            <a:ln w="66675">
              <a:noFill/>
            </a:ln>
          </c:spPr>
          <c:smooth val="0"/>
        </c:ser>
        <c:ser>
          <c:idx val="118"/>
          <c:order val="118"/>
          <c:spPr>
            <a:ln w="66675">
              <a:noFill/>
            </a:ln>
          </c:spPr>
          <c:smooth val="0"/>
        </c:ser>
        <c:ser>
          <c:idx val="119"/>
          <c:order val="119"/>
          <c:spPr>
            <a:ln w="66675">
              <a:noFill/>
            </a:ln>
          </c:spPr>
          <c:smooth val="0"/>
        </c:ser>
        <c:ser>
          <c:idx val="120"/>
          <c:order val="120"/>
          <c:spPr>
            <a:ln w="66675">
              <a:noFill/>
            </a:ln>
          </c:spPr>
          <c:smooth val="0"/>
        </c:ser>
        <c:ser>
          <c:idx val="121"/>
          <c:order val="121"/>
          <c:spPr>
            <a:ln w="66675">
              <a:noFill/>
            </a:ln>
          </c:spPr>
          <c:smooth val="0"/>
        </c:ser>
        <c:ser>
          <c:idx val="122"/>
          <c:order val="122"/>
          <c:spPr>
            <a:ln w="66675">
              <a:noFill/>
            </a:ln>
          </c:spPr>
          <c:smooth val="0"/>
        </c:ser>
        <c:ser>
          <c:idx val="123"/>
          <c:order val="123"/>
          <c:spPr>
            <a:ln w="66675">
              <a:noFill/>
            </a:ln>
          </c:spPr>
          <c:smooth val="0"/>
        </c:ser>
        <c:ser>
          <c:idx val="124"/>
          <c:order val="124"/>
          <c:spPr>
            <a:ln w="66675">
              <a:noFill/>
            </a:ln>
          </c:spPr>
          <c:smooth val="0"/>
        </c:ser>
        <c:ser>
          <c:idx val="125"/>
          <c:order val="125"/>
          <c:spPr>
            <a:ln w="66675">
              <a:noFill/>
            </a:ln>
          </c:spPr>
          <c:smooth val="0"/>
        </c:ser>
        <c:ser>
          <c:idx val="126"/>
          <c:order val="126"/>
          <c:spPr>
            <a:ln w="66675">
              <a:noFill/>
            </a:ln>
          </c:spPr>
          <c:smooth val="0"/>
        </c:ser>
        <c:ser>
          <c:idx val="127"/>
          <c:order val="127"/>
          <c:spPr>
            <a:ln w="66675">
              <a:noFill/>
            </a:ln>
          </c:spPr>
          <c:smooth val="0"/>
        </c:ser>
        <c:ser>
          <c:idx val="128"/>
          <c:order val="128"/>
          <c:spPr>
            <a:ln w="66675">
              <a:noFill/>
            </a:ln>
          </c:spPr>
          <c:smooth val="0"/>
        </c:ser>
        <c:ser>
          <c:idx val="129"/>
          <c:order val="129"/>
          <c:spPr>
            <a:ln w="66675">
              <a:noFill/>
            </a:ln>
          </c:spPr>
          <c:smooth val="0"/>
        </c:ser>
        <c:ser>
          <c:idx val="130"/>
          <c:order val="130"/>
          <c:spPr>
            <a:ln w="66675">
              <a:noFill/>
            </a:ln>
          </c:spPr>
          <c:smooth val="0"/>
        </c:ser>
        <c:ser>
          <c:idx val="131"/>
          <c:order val="131"/>
          <c:spPr>
            <a:ln w="66675">
              <a:noFill/>
            </a:ln>
          </c:spPr>
          <c:smooth val="0"/>
        </c:ser>
        <c:ser>
          <c:idx val="132"/>
          <c:order val="132"/>
          <c:spPr>
            <a:ln w="66675">
              <a:noFill/>
            </a:ln>
          </c:spPr>
          <c:smooth val="0"/>
        </c:ser>
        <c:ser>
          <c:idx val="133"/>
          <c:order val="133"/>
          <c:spPr>
            <a:ln w="66675">
              <a:noFill/>
            </a:ln>
          </c:spPr>
          <c:smooth val="0"/>
        </c:ser>
        <c:ser>
          <c:idx val="134"/>
          <c:order val="134"/>
          <c:spPr>
            <a:ln w="66675">
              <a:noFill/>
            </a:ln>
          </c:spPr>
          <c:smooth val="0"/>
        </c:ser>
        <c:ser>
          <c:idx val="135"/>
          <c:order val="135"/>
          <c:spPr>
            <a:ln w="66675">
              <a:noFill/>
            </a:ln>
          </c:spPr>
          <c:smooth val="0"/>
        </c:ser>
        <c:ser>
          <c:idx val="136"/>
          <c:order val="136"/>
          <c:spPr>
            <a:ln w="66675">
              <a:noFill/>
            </a:ln>
          </c:spPr>
          <c:smooth val="0"/>
        </c:ser>
        <c:ser>
          <c:idx val="137"/>
          <c:order val="137"/>
          <c:spPr>
            <a:ln w="66675">
              <a:noFill/>
            </a:ln>
          </c:spPr>
          <c:smooth val="0"/>
        </c:ser>
        <c:ser>
          <c:idx val="138"/>
          <c:order val="138"/>
          <c:spPr>
            <a:ln w="66675">
              <a:noFill/>
            </a:ln>
          </c:spPr>
          <c:smooth val="0"/>
        </c:ser>
        <c:ser>
          <c:idx val="139"/>
          <c:order val="139"/>
          <c:spPr>
            <a:ln w="66675">
              <a:noFill/>
            </a:ln>
          </c:spPr>
          <c:smooth val="0"/>
        </c:ser>
        <c:ser>
          <c:idx val="140"/>
          <c:order val="140"/>
          <c:spPr>
            <a:ln w="66675">
              <a:noFill/>
            </a:ln>
          </c:spPr>
          <c:smooth val="0"/>
        </c:ser>
        <c:ser>
          <c:idx val="141"/>
          <c:order val="141"/>
          <c:spPr>
            <a:ln w="66675">
              <a:noFill/>
            </a:ln>
          </c:spPr>
          <c:smooth val="0"/>
        </c:ser>
        <c:ser>
          <c:idx val="142"/>
          <c:order val="142"/>
          <c:spPr>
            <a:ln w="66675">
              <a:noFill/>
            </a:ln>
          </c:spPr>
          <c:smooth val="0"/>
        </c:ser>
        <c:ser>
          <c:idx val="143"/>
          <c:order val="143"/>
          <c:spPr>
            <a:ln w="66675">
              <a:noFill/>
            </a:ln>
          </c:spPr>
          <c:smooth val="0"/>
        </c:ser>
        <c:ser>
          <c:idx val="144"/>
          <c:order val="144"/>
          <c:spPr>
            <a:ln w="66675">
              <a:noFill/>
            </a:ln>
          </c:spPr>
          <c:smooth val="0"/>
        </c:ser>
        <c:ser>
          <c:idx val="145"/>
          <c:order val="145"/>
          <c:spPr>
            <a:ln w="66675">
              <a:noFill/>
            </a:ln>
          </c:spPr>
          <c:smooth val="0"/>
        </c:ser>
        <c:ser>
          <c:idx val="146"/>
          <c:order val="146"/>
          <c:spPr>
            <a:ln w="66675">
              <a:noFill/>
            </a:ln>
          </c:spPr>
          <c:smooth val="0"/>
        </c:ser>
        <c:ser>
          <c:idx val="147"/>
          <c:order val="147"/>
          <c:spPr>
            <a:ln w="66675">
              <a:noFill/>
            </a:ln>
          </c:spPr>
          <c:smooth val="0"/>
        </c:ser>
        <c:ser>
          <c:idx val="148"/>
          <c:order val="148"/>
          <c:spPr>
            <a:ln w="66675">
              <a:noFill/>
            </a:ln>
          </c:spPr>
          <c:smooth val="0"/>
        </c:ser>
        <c:ser>
          <c:idx val="149"/>
          <c:order val="149"/>
          <c:spPr>
            <a:ln w="66675">
              <a:noFill/>
            </a:ln>
          </c:spPr>
          <c:smooth val="0"/>
        </c:ser>
        <c:ser>
          <c:idx val="150"/>
          <c:order val="150"/>
          <c:spPr>
            <a:ln w="66675">
              <a:noFill/>
            </a:ln>
          </c:spPr>
          <c:smooth val="0"/>
        </c:ser>
        <c:ser>
          <c:idx val="151"/>
          <c:order val="151"/>
          <c:spPr>
            <a:ln w="66675">
              <a:noFill/>
            </a:ln>
          </c:spPr>
          <c:smooth val="0"/>
        </c:ser>
        <c:ser>
          <c:idx val="152"/>
          <c:order val="152"/>
          <c:spPr>
            <a:ln w="66675">
              <a:noFill/>
            </a:ln>
          </c:spPr>
          <c:smooth val="0"/>
        </c:ser>
        <c:ser>
          <c:idx val="153"/>
          <c:order val="153"/>
          <c:spPr>
            <a:ln w="66675">
              <a:noFill/>
            </a:ln>
          </c:spPr>
          <c:smooth val="0"/>
        </c:ser>
        <c:ser>
          <c:idx val="154"/>
          <c:order val="154"/>
          <c:spPr>
            <a:ln w="66675">
              <a:noFill/>
            </a:ln>
          </c:spPr>
          <c:smooth val="0"/>
        </c:ser>
        <c:ser>
          <c:idx val="155"/>
          <c:order val="155"/>
          <c:spPr>
            <a:ln w="66675">
              <a:noFill/>
            </a:ln>
          </c:spPr>
          <c:smooth val="0"/>
        </c:ser>
        <c:ser>
          <c:idx val="156"/>
          <c:order val="156"/>
          <c:spPr>
            <a:ln w="66675">
              <a:noFill/>
            </a:ln>
          </c:spPr>
          <c:smooth val="0"/>
        </c:ser>
        <c:ser>
          <c:idx val="157"/>
          <c:order val="157"/>
          <c:spPr>
            <a:ln w="66675">
              <a:noFill/>
            </a:ln>
          </c:spPr>
          <c:smooth val="0"/>
        </c:ser>
        <c:ser>
          <c:idx val="158"/>
          <c:order val="158"/>
          <c:spPr>
            <a:ln w="66675">
              <a:noFill/>
            </a:ln>
          </c:spPr>
          <c:smooth val="0"/>
        </c:ser>
        <c:ser>
          <c:idx val="159"/>
          <c:order val="159"/>
          <c:spPr>
            <a:ln w="66675">
              <a:noFill/>
            </a:ln>
          </c:spPr>
          <c:smooth val="0"/>
        </c:ser>
        <c:ser>
          <c:idx val="160"/>
          <c:order val="160"/>
          <c:spPr>
            <a:ln w="66675">
              <a:noFill/>
            </a:ln>
          </c:spPr>
          <c:smooth val="0"/>
        </c:ser>
        <c:ser>
          <c:idx val="161"/>
          <c:order val="161"/>
          <c:spPr>
            <a:ln w="66675">
              <a:noFill/>
            </a:ln>
          </c:spPr>
          <c:smooth val="0"/>
        </c:ser>
        <c:ser>
          <c:idx val="162"/>
          <c:order val="162"/>
          <c:spPr>
            <a:ln w="66675">
              <a:noFill/>
            </a:ln>
          </c:spPr>
          <c:smooth val="0"/>
        </c:ser>
        <c:ser>
          <c:idx val="163"/>
          <c:order val="163"/>
          <c:spPr>
            <a:ln w="66675">
              <a:noFill/>
            </a:ln>
          </c:spPr>
          <c:smooth val="0"/>
        </c:ser>
        <c:ser>
          <c:idx val="164"/>
          <c:order val="164"/>
          <c:spPr>
            <a:ln w="66675">
              <a:noFill/>
            </a:ln>
          </c:spPr>
          <c:smooth val="0"/>
        </c:ser>
        <c:ser>
          <c:idx val="165"/>
          <c:order val="165"/>
          <c:spPr>
            <a:ln w="66675">
              <a:noFill/>
            </a:ln>
          </c:spPr>
          <c:smooth val="0"/>
        </c:ser>
        <c:ser>
          <c:idx val="166"/>
          <c:order val="166"/>
          <c:spPr>
            <a:ln w="66675">
              <a:noFill/>
            </a:ln>
          </c:spPr>
          <c:smooth val="0"/>
        </c:ser>
        <c:ser>
          <c:idx val="167"/>
          <c:order val="167"/>
          <c:spPr>
            <a:ln w="66675">
              <a:noFill/>
            </a:ln>
          </c:spPr>
          <c:smooth val="0"/>
        </c:ser>
        <c:ser>
          <c:idx val="168"/>
          <c:order val="168"/>
          <c:spPr>
            <a:ln w="66675">
              <a:noFill/>
            </a:ln>
          </c:spPr>
          <c:smooth val="0"/>
        </c:ser>
        <c:ser>
          <c:idx val="169"/>
          <c:order val="169"/>
          <c:spPr>
            <a:ln w="66675">
              <a:noFill/>
            </a:ln>
          </c:spPr>
          <c:smooth val="0"/>
        </c:ser>
        <c:ser>
          <c:idx val="170"/>
          <c:order val="170"/>
          <c:spPr>
            <a:ln w="66675">
              <a:noFill/>
            </a:ln>
          </c:spPr>
          <c:smooth val="0"/>
        </c:ser>
        <c:ser>
          <c:idx val="171"/>
          <c:order val="171"/>
          <c:spPr>
            <a:ln w="66675">
              <a:noFill/>
            </a:ln>
          </c:spPr>
          <c:smooth val="0"/>
        </c:ser>
        <c:ser>
          <c:idx val="172"/>
          <c:order val="172"/>
          <c:spPr>
            <a:ln w="66675">
              <a:noFill/>
            </a:ln>
          </c:spPr>
          <c:smooth val="0"/>
        </c:ser>
        <c:ser>
          <c:idx val="173"/>
          <c:order val="173"/>
          <c:spPr>
            <a:ln w="66675">
              <a:noFill/>
            </a:ln>
          </c:spPr>
          <c:smooth val="0"/>
        </c:ser>
        <c:ser>
          <c:idx val="174"/>
          <c:order val="174"/>
          <c:spPr>
            <a:ln w="66675">
              <a:noFill/>
            </a:ln>
          </c:spPr>
          <c:smooth val="0"/>
        </c:ser>
        <c:ser>
          <c:idx val="175"/>
          <c:order val="175"/>
          <c:spPr>
            <a:ln w="66675">
              <a:noFill/>
            </a:ln>
          </c:spPr>
          <c:smooth val="0"/>
        </c:ser>
        <c:ser>
          <c:idx val="176"/>
          <c:order val="176"/>
          <c:spPr>
            <a:ln w="66675">
              <a:noFill/>
            </a:ln>
          </c:spPr>
          <c:smooth val="0"/>
        </c:ser>
        <c:ser>
          <c:idx val="177"/>
          <c:order val="177"/>
          <c:spPr>
            <a:ln w="66675">
              <a:noFill/>
            </a:ln>
          </c:spPr>
          <c:smooth val="0"/>
        </c:ser>
        <c:ser>
          <c:idx val="178"/>
          <c:order val="178"/>
          <c:spPr>
            <a:ln w="66675">
              <a:noFill/>
            </a:ln>
          </c:spPr>
          <c:smooth val="0"/>
        </c:ser>
        <c:ser>
          <c:idx val="179"/>
          <c:order val="179"/>
          <c:spPr>
            <a:ln w="66675">
              <a:noFill/>
            </a:ln>
          </c:spPr>
          <c:smooth val="0"/>
        </c:ser>
        <c:ser>
          <c:idx val="180"/>
          <c:order val="180"/>
          <c:spPr>
            <a:ln w="66675">
              <a:noFill/>
            </a:ln>
          </c:spPr>
          <c:smooth val="0"/>
        </c:ser>
        <c:ser>
          <c:idx val="181"/>
          <c:order val="181"/>
          <c:spPr>
            <a:ln w="66675">
              <a:noFill/>
            </a:ln>
          </c:spPr>
          <c:smooth val="0"/>
        </c:ser>
        <c:ser>
          <c:idx val="182"/>
          <c:order val="182"/>
          <c:spPr>
            <a:ln w="66675">
              <a:noFill/>
            </a:ln>
          </c:spPr>
          <c:smooth val="0"/>
        </c:ser>
        <c:ser>
          <c:idx val="183"/>
          <c:order val="183"/>
          <c:spPr>
            <a:ln w="66675">
              <a:noFill/>
            </a:ln>
          </c:spPr>
          <c:smooth val="0"/>
        </c:ser>
        <c:ser>
          <c:idx val="184"/>
          <c:order val="184"/>
          <c:spPr>
            <a:ln w="66675">
              <a:noFill/>
            </a:ln>
          </c:spPr>
          <c:smooth val="0"/>
        </c:ser>
        <c:ser>
          <c:idx val="185"/>
          <c:order val="185"/>
          <c:spPr>
            <a:ln w="66675">
              <a:noFill/>
            </a:ln>
          </c:spPr>
          <c:smooth val="0"/>
        </c:ser>
        <c:ser>
          <c:idx val="186"/>
          <c:order val="186"/>
          <c:spPr>
            <a:ln w="66675">
              <a:noFill/>
            </a:ln>
          </c:spPr>
          <c:smooth val="0"/>
        </c:ser>
        <c:ser>
          <c:idx val="187"/>
          <c:order val="187"/>
          <c:spPr>
            <a:ln w="66675">
              <a:noFill/>
            </a:ln>
          </c:spPr>
          <c:smooth val="0"/>
        </c:ser>
        <c:ser>
          <c:idx val="188"/>
          <c:order val="188"/>
          <c:spPr>
            <a:ln w="66675">
              <a:noFill/>
            </a:ln>
          </c:spPr>
          <c:smooth val="0"/>
        </c:ser>
        <c:ser>
          <c:idx val="189"/>
          <c:order val="189"/>
          <c:spPr>
            <a:ln w="66675">
              <a:noFill/>
            </a:ln>
          </c:spPr>
          <c:smooth val="0"/>
        </c:ser>
        <c:ser>
          <c:idx val="190"/>
          <c:order val="190"/>
          <c:spPr>
            <a:ln w="66675">
              <a:noFill/>
            </a:ln>
          </c:spPr>
          <c:smooth val="0"/>
        </c:ser>
        <c:ser>
          <c:idx val="191"/>
          <c:order val="191"/>
          <c:spPr>
            <a:ln w="66675">
              <a:noFill/>
            </a:ln>
          </c:spPr>
          <c:smooth val="0"/>
        </c:ser>
        <c:ser>
          <c:idx val="192"/>
          <c:order val="192"/>
          <c:spPr>
            <a:ln w="66675">
              <a:noFill/>
            </a:ln>
          </c:spPr>
          <c:smooth val="0"/>
        </c:ser>
        <c:ser>
          <c:idx val="193"/>
          <c:order val="193"/>
          <c:spPr>
            <a:ln w="66675">
              <a:noFill/>
            </a:ln>
          </c:spPr>
          <c:smooth val="0"/>
        </c:ser>
        <c:ser>
          <c:idx val="194"/>
          <c:order val="194"/>
          <c:spPr>
            <a:ln w="66675">
              <a:noFill/>
            </a:ln>
          </c:spPr>
          <c:smooth val="0"/>
        </c:ser>
        <c:ser>
          <c:idx val="195"/>
          <c:order val="195"/>
          <c:spPr>
            <a:ln w="66675">
              <a:noFill/>
            </a:ln>
          </c:spPr>
          <c:smooth val="0"/>
        </c:ser>
        <c:ser>
          <c:idx val="196"/>
          <c:order val="196"/>
          <c:spPr>
            <a:ln w="66675">
              <a:noFill/>
            </a:ln>
          </c:spPr>
          <c:smooth val="0"/>
        </c:ser>
        <c:ser>
          <c:idx val="197"/>
          <c:order val="197"/>
          <c:spPr>
            <a:ln w="66675">
              <a:noFill/>
            </a:ln>
          </c:spPr>
          <c:smooth val="0"/>
        </c:ser>
        <c:ser>
          <c:idx val="198"/>
          <c:order val="198"/>
          <c:spPr>
            <a:ln w="66675">
              <a:noFill/>
            </a:ln>
          </c:spPr>
          <c:smooth val="0"/>
        </c:ser>
        <c:ser>
          <c:idx val="199"/>
          <c:order val="199"/>
          <c:spPr>
            <a:ln w="66675">
              <a:noFill/>
            </a:ln>
          </c:spPr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11200"/>
        <c:axId val="78612736"/>
      </c:scatterChart>
      <c:valAx>
        <c:axId val="78611200"/>
        <c:scaling>
          <c:orientation val="minMax"/>
          <c:max val="100"/>
        </c:scaling>
        <c:delete val="0"/>
        <c:axPos val="b"/>
        <c:numFmt formatCode="General" sourceLinked="1"/>
        <c:majorTickMark val="out"/>
        <c:minorTickMark val="none"/>
        <c:tickLblPos val="nextTo"/>
        <c:crossAx val="78612736"/>
        <c:crosses val="autoZero"/>
        <c:crossBetween val="midCat"/>
        <c:majorUnit val="10"/>
      </c:valAx>
      <c:valAx>
        <c:axId val="78612736"/>
        <c:scaling>
          <c:orientation val="minMax"/>
          <c:max val="11.164118246687055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78611200"/>
        <c:crosses val="autoZero"/>
        <c:crossBetween val="midCat"/>
        <c:majorUnit val="1.1164118246687056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119061</xdr:colOff>
      <xdr:row>0</xdr:row>
      <xdr:rowOff>66675</xdr:rowOff>
    </xdr:from>
    <xdr:to>
      <xdr:col>12</xdr:col>
      <xdr:colOff>600074</xdr:colOff>
      <xdr:row>25</xdr:row>
      <xdr:rowOff>66675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209550</xdr:colOff>
      <xdr:row>3</xdr:row>
      <xdr:rowOff>171450</xdr:rowOff>
    </xdr:from>
    <xdr:to>
      <xdr:col>16</xdr:col>
      <xdr:colOff>590550</xdr:colOff>
      <xdr:row>6</xdr:row>
      <xdr:rowOff>9525</xdr:rowOff>
    </xdr:to>
    <xdr:sp macro="[0]!stones" textlink="">
      <xdr:nvSpPr>
        <xdr:cNvPr id="5" name="Rounded Rectangle 4"/>
        <xdr:cNvSpPr/>
      </xdr:nvSpPr>
      <xdr:spPr>
        <a:xfrm>
          <a:off x="8743950" y="742950"/>
          <a:ext cx="160020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/>
            <a:t>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03"/>
  <sheetViews>
    <sheetView tabSelected="1" workbookViewId="0">
      <selection activeCell="P13" sqref="P13"/>
    </sheetView>
  </sheetViews>
  <sheetFormatPr defaultRowHeight="15" x14ac:dyDescent="0.25"/>
  <cols>
    <col min="1" max="1" width="10.28515625" customWidth="1"/>
    <col min="2" max="2" width="9.140625" customWidth="1"/>
    <col min="3" max="3" width="9.140625" style="15" customWidth="1"/>
    <col min="4" max="4" width="9.140625" customWidth="1"/>
    <col min="5" max="5" width="13.140625" style="3" customWidth="1"/>
    <col min="6" max="6" width="11.42578125" style="5" customWidth="1"/>
    <col min="7" max="7" width="9.85546875" customWidth="1"/>
    <col min="8" max="8" width="9.140625" style="5" customWidth="1"/>
    <col min="9" max="9" width="9.140625" style="3" customWidth="1"/>
    <col min="10" max="10" width="9.140625" style="5" customWidth="1"/>
    <col min="11" max="11" width="10" customWidth="1"/>
    <col min="12" max="12" width="11.7109375" style="5" customWidth="1"/>
    <col min="14" max="14" width="10.140625" bestFit="1" customWidth="1"/>
    <col min="15" max="15" width="11.42578125" bestFit="1" customWidth="1"/>
    <col min="16" max="16" width="10.28515625" bestFit="1" customWidth="1"/>
  </cols>
  <sheetData>
    <row r="1" spans="1:16" x14ac:dyDescent="0.25">
      <c r="A1" s="6" t="s">
        <v>5</v>
      </c>
      <c r="B1" s="7" t="s">
        <v>1</v>
      </c>
      <c r="C1" s="13" t="s">
        <v>0</v>
      </c>
      <c r="D1" s="7" t="s">
        <v>4</v>
      </c>
      <c r="E1" s="9" t="s">
        <v>11</v>
      </c>
      <c r="F1" s="8" t="s">
        <v>10</v>
      </c>
      <c r="G1" s="7" t="s">
        <v>9</v>
      </c>
      <c r="H1" s="8" t="s">
        <v>3</v>
      </c>
      <c r="I1" s="9" t="s">
        <v>7</v>
      </c>
      <c r="J1" s="8" t="s">
        <v>12</v>
      </c>
      <c r="K1" s="7" t="s">
        <v>13</v>
      </c>
      <c r="L1" s="8" t="s">
        <v>2</v>
      </c>
      <c r="M1" s="11" t="s">
        <v>8</v>
      </c>
      <c r="N1" s="10" t="s">
        <v>6</v>
      </c>
      <c r="O1" s="10" t="s">
        <v>10</v>
      </c>
      <c r="P1" s="10" t="s">
        <v>14</v>
      </c>
    </row>
    <row r="2" spans="1:16" x14ac:dyDescent="0.25">
      <c r="A2" s="7">
        <v>1</v>
      </c>
      <c r="B2" s="7">
        <v>10</v>
      </c>
      <c r="C2" s="13">
        <v>-3.8</v>
      </c>
      <c r="D2" s="7">
        <f t="shared" ref="D2" si="0">B2+C2</f>
        <v>6.2</v>
      </c>
      <c r="E2" s="9">
        <f t="shared" ref="E2" si="1">D2/9.81</f>
        <v>0.6320081549439347</v>
      </c>
      <c r="F2" s="8">
        <f t="shared" ref="F2" si="2">(D2*D2/(2*9.81))</f>
        <v>1.9592252803261978</v>
      </c>
      <c r="G2" s="7">
        <f t="shared" ref="G2" si="3">IF(Clock&gt;E2,0,D2)</f>
        <v>0</v>
      </c>
      <c r="H2" s="8">
        <f t="shared" ref="H2" si="4">IF(Clock&gt;E2,9.81,-9.81)</f>
        <v>9.81</v>
      </c>
      <c r="I2" s="9">
        <f t="shared" ref="I2" si="5">IF(Clock&gt;E2,Clock-E2,Clock)</f>
        <v>2.3853211009174311</v>
      </c>
      <c r="J2" s="8">
        <f t="shared" ref="J2" si="6">I2*G2+H2*I2*I2/2</f>
        <v>27.908256880733941</v>
      </c>
      <c r="K2" s="8">
        <f t="shared" ref="K2" si="7">F2-H2*I2*I2/2</f>
        <v>-25.949031600407743</v>
      </c>
      <c r="L2" s="8">
        <f t="shared" ref="L2" si="8">IF(Clock&gt;2*E2,0,IF(Clock&gt;E2,(K2),J2))</f>
        <v>0</v>
      </c>
      <c r="M2" s="16">
        <v>3.017329255861366</v>
      </c>
      <c r="N2" s="8">
        <f>MAX(E:E)*2</f>
        <v>3.017329255861366</v>
      </c>
      <c r="O2" s="8">
        <f>MAX(F:F)</f>
        <v>11.164118246687055</v>
      </c>
      <c r="P2" s="7">
        <f>MAX(A:A)</f>
        <v>100</v>
      </c>
    </row>
    <row r="3" spans="1:16" x14ac:dyDescent="0.25">
      <c r="A3" s="7">
        <v>2</v>
      </c>
      <c r="B3" s="7">
        <v>10</v>
      </c>
      <c r="C3" s="13">
        <v>0.7</v>
      </c>
      <c r="D3" s="7">
        <f t="shared" ref="D3:D66" si="9">B3+C3</f>
        <v>10.7</v>
      </c>
      <c r="E3" s="9">
        <f t="shared" ref="E3:E66" si="10">D3/9.81</f>
        <v>1.0907237512742098</v>
      </c>
      <c r="F3" s="8">
        <f t="shared" ref="F3:F66" si="11">(D3*D3/(2*9.81))</f>
        <v>5.8353720693170219</v>
      </c>
      <c r="G3" s="7">
        <f t="shared" ref="G3:G66" si="12">IF(Clock&gt;E3,0,D3)</f>
        <v>0</v>
      </c>
      <c r="H3" s="8">
        <f t="shared" ref="H3:H66" si="13">IF(Clock&gt;E3,9.81,-9.81)</f>
        <v>9.81</v>
      </c>
      <c r="I3" s="9">
        <f t="shared" ref="I3:I66" si="14">IF(Clock&gt;E3,Clock-E3,Clock)</f>
        <v>1.9266055045871562</v>
      </c>
      <c r="J3" s="8">
        <f t="shared" ref="J3:J66" si="15">I3*G3+H3*I3*I3/2</f>
        <v>18.206422018348629</v>
      </c>
      <c r="K3" s="8">
        <f t="shared" ref="K3:K66" si="16">F3-H3*I3*I3/2</f>
        <v>-12.371049949031608</v>
      </c>
      <c r="L3" s="8">
        <f t="shared" ref="L3:L66" si="17">IF(Clock&gt;2*E3,0,IF(Clock&gt;E3,(K3),J3))</f>
        <v>0</v>
      </c>
    </row>
    <row r="4" spans="1:16" x14ac:dyDescent="0.25">
      <c r="A4" s="7">
        <v>3</v>
      </c>
      <c r="B4" s="7">
        <v>10</v>
      </c>
      <c r="C4" s="13">
        <v>-2.2999999999999998</v>
      </c>
      <c r="D4" s="7">
        <f t="shared" si="9"/>
        <v>7.7</v>
      </c>
      <c r="E4" s="9">
        <f t="shared" si="10"/>
        <v>0.78491335372069315</v>
      </c>
      <c r="F4" s="8">
        <f t="shared" si="11"/>
        <v>3.0219164118246691</v>
      </c>
      <c r="G4" s="7">
        <f t="shared" si="12"/>
        <v>0</v>
      </c>
      <c r="H4" s="8">
        <f t="shared" si="13"/>
        <v>9.81</v>
      </c>
      <c r="I4" s="9">
        <f t="shared" si="14"/>
        <v>2.2324159021406729</v>
      </c>
      <c r="J4" s="8">
        <f t="shared" si="15"/>
        <v>24.444954128440369</v>
      </c>
      <c r="K4" s="8">
        <f t="shared" si="16"/>
        <v>-21.423037716615699</v>
      </c>
      <c r="L4" s="8">
        <f t="shared" si="17"/>
        <v>0</v>
      </c>
    </row>
    <row r="5" spans="1:16" x14ac:dyDescent="0.25">
      <c r="A5" s="7">
        <v>4</v>
      </c>
      <c r="B5" s="7">
        <v>10</v>
      </c>
      <c r="C5" s="13">
        <v>3.3</v>
      </c>
      <c r="D5" s="7">
        <f t="shared" si="9"/>
        <v>13.3</v>
      </c>
      <c r="E5" s="9">
        <f t="shared" si="10"/>
        <v>1.3557594291539246</v>
      </c>
      <c r="F5" s="8">
        <f t="shared" si="11"/>
        <v>9.0158002038735994</v>
      </c>
      <c r="G5" s="7">
        <f t="shared" si="12"/>
        <v>0</v>
      </c>
      <c r="H5" s="8">
        <f t="shared" si="13"/>
        <v>9.81</v>
      </c>
      <c r="I5" s="9">
        <f t="shared" si="14"/>
        <v>1.6615698267074415</v>
      </c>
      <c r="J5" s="8">
        <f t="shared" si="15"/>
        <v>13.541794087665648</v>
      </c>
      <c r="K5" s="8">
        <f t="shared" si="16"/>
        <v>-4.525993883792049</v>
      </c>
      <c r="L5" s="8">
        <f t="shared" si="17"/>
        <v>0</v>
      </c>
    </row>
    <row r="6" spans="1:16" x14ac:dyDescent="0.25">
      <c r="A6" s="7">
        <v>5</v>
      </c>
      <c r="B6" s="7">
        <v>10</v>
      </c>
      <c r="C6" s="13">
        <v>-4</v>
      </c>
      <c r="D6" s="7">
        <f t="shared" si="9"/>
        <v>6</v>
      </c>
      <c r="E6" s="9">
        <f t="shared" si="10"/>
        <v>0.6116207951070336</v>
      </c>
      <c r="F6" s="8">
        <f t="shared" si="11"/>
        <v>1.8348623853211008</v>
      </c>
      <c r="G6" s="7">
        <f t="shared" si="12"/>
        <v>0</v>
      </c>
      <c r="H6" s="8">
        <f t="shared" si="13"/>
        <v>9.81</v>
      </c>
      <c r="I6" s="9">
        <f t="shared" si="14"/>
        <v>2.4057084607543322</v>
      </c>
      <c r="J6" s="8">
        <f t="shared" si="15"/>
        <v>28.387359836901123</v>
      </c>
      <c r="K6" s="8">
        <f t="shared" si="16"/>
        <v>-26.55249745158002</v>
      </c>
      <c r="L6" s="8">
        <f t="shared" si="17"/>
        <v>0</v>
      </c>
    </row>
    <row r="7" spans="1:16" x14ac:dyDescent="0.25">
      <c r="A7" s="7">
        <v>6</v>
      </c>
      <c r="B7" s="7">
        <v>10</v>
      </c>
      <c r="C7" s="13">
        <v>-0.5</v>
      </c>
      <c r="D7" s="7">
        <f t="shared" si="9"/>
        <v>9.5</v>
      </c>
      <c r="E7" s="9">
        <f t="shared" si="10"/>
        <v>0.96839959225280325</v>
      </c>
      <c r="F7" s="8">
        <f t="shared" si="11"/>
        <v>4.5998980632008148</v>
      </c>
      <c r="G7" s="7">
        <f t="shared" si="12"/>
        <v>0</v>
      </c>
      <c r="H7" s="8">
        <f t="shared" si="13"/>
        <v>9.81</v>
      </c>
      <c r="I7" s="9">
        <f t="shared" si="14"/>
        <v>2.048929663608563</v>
      </c>
      <c r="J7" s="8">
        <f t="shared" si="15"/>
        <v>20.591743119266063</v>
      </c>
      <c r="K7" s="8">
        <f t="shared" si="16"/>
        <v>-15.991845056065248</v>
      </c>
      <c r="L7" s="8">
        <f t="shared" si="17"/>
        <v>0</v>
      </c>
    </row>
    <row r="8" spans="1:16" x14ac:dyDescent="0.25">
      <c r="A8" s="7">
        <v>7</v>
      </c>
      <c r="B8" s="7">
        <v>10</v>
      </c>
      <c r="C8" s="13">
        <v>-2.8</v>
      </c>
      <c r="D8" s="7">
        <f t="shared" si="9"/>
        <v>7.2</v>
      </c>
      <c r="E8" s="9">
        <f t="shared" si="10"/>
        <v>0.7339449541284403</v>
      </c>
      <c r="F8" s="8">
        <f t="shared" si="11"/>
        <v>2.6422018348623855</v>
      </c>
      <c r="G8" s="7">
        <f t="shared" si="12"/>
        <v>0</v>
      </c>
      <c r="H8" s="8">
        <f t="shared" si="13"/>
        <v>9.81</v>
      </c>
      <c r="I8" s="9">
        <f t="shared" si="14"/>
        <v>2.2833843017329256</v>
      </c>
      <c r="J8" s="8">
        <f t="shared" si="15"/>
        <v>25.573904179408768</v>
      </c>
      <c r="K8" s="8">
        <f t="shared" si="16"/>
        <v>-22.93170234454638</v>
      </c>
      <c r="L8" s="8">
        <f t="shared" si="17"/>
        <v>0</v>
      </c>
    </row>
    <row r="9" spans="1:16" x14ac:dyDescent="0.25">
      <c r="A9" s="7">
        <v>8</v>
      </c>
      <c r="B9" s="7">
        <v>10</v>
      </c>
      <c r="C9" s="13">
        <v>3</v>
      </c>
      <c r="D9" s="7">
        <f t="shared" si="9"/>
        <v>13</v>
      </c>
      <c r="E9" s="9">
        <f t="shared" si="10"/>
        <v>1.3251783893985729</v>
      </c>
      <c r="F9" s="8">
        <f t="shared" si="11"/>
        <v>8.6136595310907236</v>
      </c>
      <c r="G9" s="7">
        <f t="shared" si="12"/>
        <v>0</v>
      </c>
      <c r="H9" s="8">
        <f t="shared" si="13"/>
        <v>9.81</v>
      </c>
      <c r="I9" s="9">
        <f t="shared" si="14"/>
        <v>1.6921508664627931</v>
      </c>
      <c r="J9" s="8">
        <f t="shared" si="15"/>
        <v>14.044852191641183</v>
      </c>
      <c r="K9" s="8">
        <f t="shared" si="16"/>
        <v>-5.4311926605504599</v>
      </c>
      <c r="L9" s="8">
        <f t="shared" si="17"/>
        <v>0</v>
      </c>
      <c r="M9" s="3"/>
    </row>
    <row r="10" spans="1:16" x14ac:dyDescent="0.25">
      <c r="A10" s="7">
        <v>9</v>
      </c>
      <c r="B10" s="7">
        <v>10</v>
      </c>
      <c r="C10" s="13">
        <v>-0.7</v>
      </c>
      <c r="D10" s="7">
        <f t="shared" si="9"/>
        <v>9.3000000000000007</v>
      </c>
      <c r="E10" s="9">
        <f t="shared" si="10"/>
        <v>0.94801223241590216</v>
      </c>
      <c r="F10" s="8">
        <f t="shared" si="11"/>
        <v>4.4082568807339451</v>
      </c>
      <c r="G10" s="7">
        <f t="shared" si="12"/>
        <v>0</v>
      </c>
      <c r="H10" s="8">
        <f t="shared" si="13"/>
        <v>9.81</v>
      </c>
      <c r="I10" s="9">
        <f t="shared" si="14"/>
        <v>2.0693170234454641</v>
      </c>
      <c r="J10" s="8">
        <f t="shared" si="15"/>
        <v>21.003567787971466</v>
      </c>
      <c r="K10" s="8">
        <f t="shared" si="16"/>
        <v>-16.595310907237522</v>
      </c>
      <c r="L10" s="8">
        <f t="shared" si="17"/>
        <v>0</v>
      </c>
    </row>
    <row r="11" spans="1:16" x14ac:dyDescent="0.25">
      <c r="A11" s="7">
        <v>10</v>
      </c>
      <c r="B11" s="7">
        <v>10</v>
      </c>
      <c r="C11" s="13">
        <v>-3.9</v>
      </c>
      <c r="D11" s="7">
        <f t="shared" si="9"/>
        <v>6.1</v>
      </c>
      <c r="E11" s="9">
        <f t="shared" si="10"/>
        <v>0.62181447502548415</v>
      </c>
      <c r="F11" s="8">
        <f t="shared" si="11"/>
        <v>1.8965341488277263</v>
      </c>
      <c r="G11" s="7">
        <f t="shared" si="12"/>
        <v>0</v>
      </c>
      <c r="H11" s="8">
        <f t="shared" si="13"/>
        <v>9.81</v>
      </c>
      <c r="I11" s="9">
        <f t="shared" si="14"/>
        <v>2.3955147808358817</v>
      </c>
      <c r="J11" s="8">
        <f t="shared" si="15"/>
        <v>28.147298674821609</v>
      </c>
      <c r="K11" s="8">
        <f t="shared" si="16"/>
        <v>-26.250764525993883</v>
      </c>
      <c r="L11" s="8">
        <f t="shared" si="17"/>
        <v>0</v>
      </c>
    </row>
    <row r="12" spans="1:16" x14ac:dyDescent="0.25">
      <c r="A12" s="7">
        <v>11</v>
      </c>
      <c r="B12" s="7">
        <v>10</v>
      </c>
      <c r="C12" s="13">
        <v>-0.3</v>
      </c>
      <c r="D12" s="7">
        <f t="shared" si="9"/>
        <v>9.6999999999999993</v>
      </c>
      <c r="E12" s="9">
        <f t="shared" si="10"/>
        <v>0.98878695208970424</v>
      </c>
      <c r="F12" s="8">
        <f t="shared" si="11"/>
        <v>4.795616717635065</v>
      </c>
      <c r="G12" s="7">
        <f t="shared" si="12"/>
        <v>0</v>
      </c>
      <c r="H12" s="8">
        <f t="shared" si="13"/>
        <v>9.81</v>
      </c>
      <c r="I12" s="9">
        <f t="shared" si="14"/>
        <v>2.0285423037716619</v>
      </c>
      <c r="J12" s="8">
        <f t="shared" si="15"/>
        <v>20.183995922528041</v>
      </c>
      <c r="K12" s="8">
        <f t="shared" si="16"/>
        <v>-15.388379204892976</v>
      </c>
      <c r="L12" s="8">
        <f t="shared" si="17"/>
        <v>0</v>
      </c>
    </row>
    <row r="13" spans="1:16" x14ac:dyDescent="0.25">
      <c r="A13" s="7">
        <v>12</v>
      </c>
      <c r="B13" s="7">
        <v>10</v>
      </c>
      <c r="C13" s="13">
        <v>1.7</v>
      </c>
      <c r="D13" s="7">
        <f t="shared" si="9"/>
        <v>11.7</v>
      </c>
      <c r="E13" s="9">
        <f t="shared" si="10"/>
        <v>1.1926605504587156</v>
      </c>
      <c r="F13" s="8">
        <f t="shared" si="11"/>
        <v>6.9770642201834852</v>
      </c>
      <c r="G13" s="7">
        <f t="shared" si="12"/>
        <v>0</v>
      </c>
      <c r="H13" s="8">
        <f t="shared" si="13"/>
        <v>9.81</v>
      </c>
      <c r="I13" s="9">
        <f t="shared" si="14"/>
        <v>1.8246687054026505</v>
      </c>
      <c r="J13" s="8">
        <f t="shared" si="15"/>
        <v>16.330784913353725</v>
      </c>
      <c r="K13" s="8">
        <f t="shared" si="16"/>
        <v>-9.3537206931702386</v>
      </c>
      <c r="L13" s="8">
        <f t="shared" si="17"/>
        <v>0</v>
      </c>
    </row>
    <row r="14" spans="1:16" x14ac:dyDescent="0.25">
      <c r="A14" s="7">
        <v>13</v>
      </c>
      <c r="B14" s="7">
        <v>10</v>
      </c>
      <c r="C14" s="13">
        <v>-4.7</v>
      </c>
      <c r="D14" s="7">
        <f t="shared" si="9"/>
        <v>5.3</v>
      </c>
      <c r="E14" s="9">
        <f t="shared" si="10"/>
        <v>0.54026503567787965</v>
      </c>
      <c r="F14" s="8">
        <f t="shared" si="11"/>
        <v>1.4317023445463812</v>
      </c>
      <c r="G14" s="7">
        <f t="shared" si="12"/>
        <v>0</v>
      </c>
      <c r="H14" s="8">
        <f t="shared" si="13"/>
        <v>9.81</v>
      </c>
      <c r="I14" s="9">
        <f t="shared" si="14"/>
        <v>2.4770642201834865</v>
      </c>
      <c r="J14" s="8">
        <f t="shared" si="15"/>
        <v>30.096330275229366</v>
      </c>
      <c r="K14" s="8">
        <f t="shared" si="16"/>
        <v>-28.664627930682986</v>
      </c>
      <c r="L14" s="8">
        <f t="shared" si="17"/>
        <v>0</v>
      </c>
    </row>
    <row r="15" spans="1:16" x14ac:dyDescent="0.25">
      <c r="A15" s="7">
        <v>14</v>
      </c>
      <c r="B15" s="7">
        <v>10</v>
      </c>
      <c r="C15" s="13">
        <v>-1.7</v>
      </c>
      <c r="D15" s="7">
        <f t="shared" si="9"/>
        <v>8.3000000000000007</v>
      </c>
      <c r="E15" s="9">
        <f t="shared" si="10"/>
        <v>0.84607543323139656</v>
      </c>
      <c r="F15" s="8">
        <f t="shared" si="11"/>
        <v>3.5112130479102963</v>
      </c>
      <c r="G15" s="7">
        <f t="shared" si="12"/>
        <v>0</v>
      </c>
      <c r="H15" s="8">
        <f t="shared" si="13"/>
        <v>9.81</v>
      </c>
      <c r="I15" s="9">
        <f t="shared" si="14"/>
        <v>2.1712538226299696</v>
      </c>
      <c r="J15" s="8">
        <f t="shared" si="15"/>
        <v>23.12385321100918</v>
      </c>
      <c r="K15" s="8">
        <f t="shared" si="16"/>
        <v>-19.612640163098884</v>
      </c>
      <c r="L15" s="8">
        <f t="shared" si="17"/>
        <v>0</v>
      </c>
    </row>
    <row r="16" spans="1:16" x14ac:dyDescent="0.25">
      <c r="A16" s="7">
        <v>15</v>
      </c>
      <c r="B16" s="7">
        <v>10</v>
      </c>
      <c r="C16" s="13">
        <v>-1</v>
      </c>
      <c r="D16" s="7">
        <f t="shared" si="9"/>
        <v>9</v>
      </c>
      <c r="E16" s="9">
        <f t="shared" si="10"/>
        <v>0.9174311926605504</v>
      </c>
      <c r="F16" s="8">
        <f t="shared" si="11"/>
        <v>4.1284403669724767</v>
      </c>
      <c r="G16" s="7">
        <f t="shared" si="12"/>
        <v>0</v>
      </c>
      <c r="H16" s="8">
        <f t="shared" si="13"/>
        <v>9.81</v>
      </c>
      <c r="I16" s="9">
        <f t="shared" si="14"/>
        <v>2.0998980632008157</v>
      </c>
      <c r="J16" s="8">
        <f t="shared" si="15"/>
        <v>21.628950050968406</v>
      </c>
      <c r="K16" s="8">
        <f t="shared" si="16"/>
        <v>-17.500509683995929</v>
      </c>
      <c r="L16" s="8">
        <f t="shared" si="17"/>
        <v>0</v>
      </c>
    </row>
    <row r="17" spans="1:12" x14ac:dyDescent="0.25">
      <c r="A17" s="7">
        <v>16</v>
      </c>
      <c r="B17" s="7">
        <v>10</v>
      </c>
      <c r="C17" s="13">
        <v>2.6</v>
      </c>
      <c r="D17" s="7">
        <f t="shared" si="9"/>
        <v>12.6</v>
      </c>
      <c r="E17" s="9">
        <f t="shared" si="10"/>
        <v>1.2844036697247705</v>
      </c>
      <c r="F17" s="8">
        <f t="shared" si="11"/>
        <v>8.0917431192660541</v>
      </c>
      <c r="G17" s="7">
        <f t="shared" si="12"/>
        <v>0</v>
      </c>
      <c r="H17" s="8">
        <f t="shared" si="13"/>
        <v>9.81</v>
      </c>
      <c r="I17" s="9">
        <f t="shared" si="14"/>
        <v>1.7329255861365955</v>
      </c>
      <c r="J17" s="8">
        <f t="shared" si="15"/>
        <v>14.729867482161065</v>
      </c>
      <c r="K17" s="8">
        <f t="shared" si="16"/>
        <v>-6.6381243628950113</v>
      </c>
      <c r="L17" s="8">
        <f t="shared" si="17"/>
        <v>0</v>
      </c>
    </row>
    <row r="18" spans="1:12" x14ac:dyDescent="0.25">
      <c r="A18" s="7">
        <v>17</v>
      </c>
      <c r="B18" s="7">
        <v>10</v>
      </c>
      <c r="C18" s="13">
        <v>0.3</v>
      </c>
      <c r="D18" s="7">
        <f t="shared" si="9"/>
        <v>10.3</v>
      </c>
      <c r="E18" s="9">
        <f t="shared" si="10"/>
        <v>1.0499490316004079</v>
      </c>
      <c r="F18" s="8">
        <f t="shared" si="11"/>
        <v>5.4072375127421006</v>
      </c>
      <c r="G18" s="7">
        <f t="shared" si="12"/>
        <v>0</v>
      </c>
      <c r="H18" s="8">
        <f t="shared" si="13"/>
        <v>9.81</v>
      </c>
      <c r="I18" s="9">
        <f t="shared" si="14"/>
        <v>1.9673802242609582</v>
      </c>
      <c r="J18" s="8">
        <f t="shared" si="15"/>
        <v>18.985219164118249</v>
      </c>
      <c r="K18" s="8">
        <f t="shared" si="16"/>
        <v>-13.577981651376149</v>
      </c>
      <c r="L18" s="8">
        <f t="shared" si="17"/>
        <v>0</v>
      </c>
    </row>
    <row r="19" spans="1:12" x14ac:dyDescent="0.25">
      <c r="A19" s="7">
        <v>18</v>
      </c>
      <c r="B19" s="7">
        <v>10</v>
      </c>
      <c r="C19" s="13">
        <v>-1.7</v>
      </c>
      <c r="D19" s="7">
        <f t="shared" si="9"/>
        <v>8.3000000000000007</v>
      </c>
      <c r="E19" s="9">
        <f t="shared" si="10"/>
        <v>0.84607543323139656</v>
      </c>
      <c r="F19" s="8">
        <f t="shared" si="11"/>
        <v>3.5112130479102963</v>
      </c>
      <c r="G19" s="7">
        <f t="shared" si="12"/>
        <v>0</v>
      </c>
      <c r="H19" s="8">
        <f t="shared" si="13"/>
        <v>9.81</v>
      </c>
      <c r="I19" s="9">
        <f t="shared" si="14"/>
        <v>2.1712538226299696</v>
      </c>
      <c r="J19" s="8">
        <f t="shared" si="15"/>
        <v>23.12385321100918</v>
      </c>
      <c r="K19" s="8">
        <f t="shared" si="16"/>
        <v>-19.612640163098884</v>
      </c>
      <c r="L19" s="8">
        <f t="shared" si="17"/>
        <v>0</v>
      </c>
    </row>
    <row r="20" spans="1:12" x14ac:dyDescent="0.25">
      <c r="A20" s="7">
        <v>19</v>
      </c>
      <c r="B20" s="7">
        <v>10</v>
      </c>
      <c r="C20" s="13">
        <v>1.3</v>
      </c>
      <c r="D20" s="7">
        <f t="shared" si="9"/>
        <v>11.3</v>
      </c>
      <c r="E20" s="9">
        <f t="shared" si="10"/>
        <v>1.1518858307849134</v>
      </c>
      <c r="F20" s="8">
        <f t="shared" si="11"/>
        <v>6.5081549439347608</v>
      </c>
      <c r="G20" s="7">
        <f t="shared" si="12"/>
        <v>0</v>
      </c>
      <c r="H20" s="8">
        <f t="shared" si="13"/>
        <v>9.81</v>
      </c>
      <c r="I20" s="9">
        <f t="shared" si="14"/>
        <v>1.8654434250764527</v>
      </c>
      <c r="J20" s="8">
        <f t="shared" si="15"/>
        <v>17.068807339449542</v>
      </c>
      <c r="K20" s="8">
        <f t="shared" si="16"/>
        <v>-10.560652395514781</v>
      </c>
      <c r="L20" s="8">
        <f t="shared" si="17"/>
        <v>0</v>
      </c>
    </row>
    <row r="21" spans="1:12" x14ac:dyDescent="0.25">
      <c r="A21" s="7">
        <v>20</v>
      </c>
      <c r="B21" s="7">
        <v>10</v>
      </c>
      <c r="C21" s="13">
        <v>-4.4000000000000004</v>
      </c>
      <c r="D21" s="7">
        <f t="shared" si="9"/>
        <v>5.6</v>
      </c>
      <c r="E21" s="9">
        <f t="shared" si="10"/>
        <v>0.57084607543323129</v>
      </c>
      <c r="F21" s="8">
        <f t="shared" si="11"/>
        <v>1.5983690112130475</v>
      </c>
      <c r="G21" s="7">
        <f t="shared" si="12"/>
        <v>0</v>
      </c>
      <c r="H21" s="8">
        <f t="shared" si="13"/>
        <v>9.81</v>
      </c>
      <c r="I21" s="9">
        <f t="shared" si="14"/>
        <v>2.4464831804281348</v>
      </c>
      <c r="J21" s="8">
        <f t="shared" si="15"/>
        <v>29.357798165137623</v>
      </c>
      <c r="K21" s="8">
        <f t="shared" si="16"/>
        <v>-27.759429153924575</v>
      </c>
      <c r="L21" s="8">
        <f t="shared" si="17"/>
        <v>0</v>
      </c>
    </row>
    <row r="22" spans="1:12" x14ac:dyDescent="0.25">
      <c r="A22" s="7">
        <v>21</v>
      </c>
      <c r="B22" s="7">
        <v>10</v>
      </c>
      <c r="C22" s="13">
        <v>-1.7</v>
      </c>
      <c r="D22" s="7">
        <f t="shared" si="9"/>
        <v>8.3000000000000007</v>
      </c>
      <c r="E22" s="9">
        <f t="shared" si="10"/>
        <v>0.84607543323139656</v>
      </c>
      <c r="F22" s="8">
        <f t="shared" si="11"/>
        <v>3.5112130479102963</v>
      </c>
      <c r="G22" s="7">
        <f t="shared" si="12"/>
        <v>0</v>
      </c>
      <c r="H22" s="8">
        <f t="shared" si="13"/>
        <v>9.81</v>
      </c>
      <c r="I22" s="9">
        <f t="shared" si="14"/>
        <v>2.1712538226299696</v>
      </c>
      <c r="J22" s="8">
        <f t="shared" si="15"/>
        <v>23.12385321100918</v>
      </c>
      <c r="K22" s="8">
        <f t="shared" si="16"/>
        <v>-19.612640163098884</v>
      </c>
      <c r="L22" s="8">
        <f t="shared" si="17"/>
        <v>0</v>
      </c>
    </row>
    <row r="23" spans="1:12" x14ac:dyDescent="0.25">
      <c r="A23" s="7">
        <v>22</v>
      </c>
      <c r="B23" s="7">
        <v>10</v>
      </c>
      <c r="C23" s="13">
        <v>-1.3</v>
      </c>
      <c r="D23" s="7">
        <f t="shared" si="9"/>
        <v>8.6999999999999993</v>
      </c>
      <c r="E23" s="9">
        <f t="shared" si="10"/>
        <v>0.88685015290519864</v>
      </c>
      <c r="F23" s="8">
        <f t="shared" si="11"/>
        <v>3.8577981651376136</v>
      </c>
      <c r="G23" s="7">
        <f t="shared" si="12"/>
        <v>0</v>
      </c>
      <c r="H23" s="8">
        <f t="shared" si="13"/>
        <v>9.81</v>
      </c>
      <c r="I23" s="9">
        <f t="shared" si="14"/>
        <v>2.1304791029561674</v>
      </c>
      <c r="J23" s="8">
        <f t="shared" si="15"/>
        <v>22.263506625891953</v>
      </c>
      <c r="K23" s="8">
        <f t="shared" si="16"/>
        <v>-18.40570846075434</v>
      </c>
      <c r="L23" s="8">
        <f t="shared" si="17"/>
        <v>0</v>
      </c>
    </row>
    <row r="24" spans="1:12" x14ac:dyDescent="0.25">
      <c r="A24" s="7">
        <v>23</v>
      </c>
      <c r="B24" s="7">
        <v>10</v>
      </c>
      <c r="C24" s="13">
        <v>-3.5</v>
      </c>
      <c r="D24" s="7">
        <f t="shared" si="9"/>
        <v>6.5</v>
      </c>
      <c r="E24" s="9">
        <f t="shared" si="10"/>
        <v>0.66258919469928645</v>
      </c>
      <c r="F24" s="8">
        <f t="shared" si="11"/>
        <v>2.1534148827726809</v>
      </c>
      <c r="G24" s="7">
        <f t="shared" si="12"/>
        <v>0</v>
      </c>
      <c r="H24" s="8">
        <f t="shared" si="13"/>
        <v>9.81</v>
      </c>
      <c r="I24" s="9">
        <f t="shared" si="14"/>
        <v>2.3547400611620795</v>
      </c>
      <c r="J24" s="8">
        <f t="shared" si="15"/>
        <v>27.197247706422019</v>
      </c>
      <c r="K24" s="8">
        <f t="shared" si="16"/>
        <v>-25.043832823649339</v>
      </c>
      <c r="L24" s="8">
        <f t="shared" si="17"/>
        <v>0</v>
      </c>
    </row>
    <row r="25" spans="1:12" x14ac:dyDescent="0.25">
      <c r="A25" s="7">
        <v>24</v>
      </c>
      <c r="B25" s="7">
        <v>10</v>
      </c>
      <c r="C25" s="13">
        <v>-2.5</v>
      </c>
      <c r="D25" s="7">
        <f t="shared" si="9"/>
        <v>7.5</v>
      </c>
      <c r="E25" s="9">
        <f t="shared" si="10"/>
        <v>0.76452599388379205</v>
      </c>
      <c r="F25" s="8">
        <f t="shared" si="11"/>
        <v>2.8669724770642202</v>
      </c>
      <c r="G25" s="7">
        <f t="shared" si="12"/>
        <v>0</v>
      </c>
      <c r="H25" s="8">
        <f t="shared" si="13"/>
        <v>9.81</v>
      </c>
      <c r="I25" s="9">
        <f t="shared" si="14"/>
        <v>2.252803261977574</v>
      </c>
      <c r="J25" s="8">
        <f t="shared" si="15"/>
        <v>24.893476044852193</v>
      </c>
      <c r="K25" s="8">
        <f t="shared" si="16"/>
        <v>-22.026503567787973</v>
      </c>
      <c r="L25" s="8">
        <f t="shared" si="17"/>
        <v>0</v>
      </c>
    </row>
    <row r="26" spans="1:12" x14ac:dyDescent="0.25">
      <c r="A26" s="7">
        <v>25</v>
      </c>
      <c r="B26" s="7">
        <v>10</v>
      </c>
      <c r="C26" s="13">
        <v>0.8</v>
      </c>
      <c r="D26" s="7">
        <f t="shared" si="9"/>
        <v>10.8</v>
      </c>
      <c r="E26" s="9">
        <f t="shared" si="10"/>
        <v>1.1009174311926606</v>
      </c>
      <c r="F26" s="8">
        <f t="shared" si="11"/>
        <v>5.9449541284403677</v>
      </c>
      <c r="G26" s="7">
        <f t="shared" si="12"/>
        <v>0</v>
      </c>
      <c r="H26" s="8">
        <f t="shared" si="13"/>
        <v>9.81</v>
      </c>
      <c r="I26" s="9">
        <f t="shared" si="14"/>
        <v>1.9164118246687054</v>
      </c>
      <c r="J26" s="8">
        <f t="shared" si="15"/>
        <v>18.014271151885833</v>
      </c>
      <c r="K26" s="8">
        <f t="shared" si="16"/>
        <v>-12.069317023445464</v>
      </c>
      <c r="L26" s="8">
        <f t="shared" si="17"/>
        <v>0</v>
      </c>
    </row>
    <row r="27" spans="1:12" x14ac:dyDescent="0.25">
      <c r="A27" s="7">
        <v>26</v>
      </c>
      <c r="B27" s="7">
        <v>10</v>
      </c>
      <c r="C27" s="13">
        <v>-2.6</v>
      </c>
      <c r="D27" s="7">
        <f t="shared" si="9"/>
        <v>7.4</v>
      </c>
      <c r="E27" s="9">
        <f t="shared" si="10"/>
        <v>0.75433231396534151</v>
      </c>
      <c r="F27" s="8">
        <f t="shared" si="11"/>
        <v>2.7910295616717637</v>
      </c>
      <c r="G27" s="7">
        <f t="shared" si="12"/>
        <v>0</v>
      </c>
      <c r="H27" s="8">
        <f t="shared" si="13"/>
        <v>9.81</v>
      </c>
      <c r="I27" s="9">
        <f t="shared" si="14"/>
        <v>2.2629969418960245</v>
      </c>
      <c r="J27" s="8">
        <f t="shared" si="15"/>
        <v>25.119266055045877</v>
      </c>
      <c r="K27" s="8">
        <f t="shared" si="16"/>
        <v>-22.328236493374114</v>
      </c>
      <c r="L27" s="8">
        <f t="shared" si="17"/>
        <v>0</v>
      </c>
    </row>
    <row r="28" spans="1:12" x14ac:dyDescent="0.25">
      <c r="A28" s="7">
        <v>27</v>
      </c>
      <c r="B28" s="7">
        <v>10</v>
      </c>
      <c r="C28" s="13">
        <v>-4.9000000000000004</v>
      </c>
      <c r="D28" s="7">
        <f t="shared" si="9"/>
        <v>5.0999999999999996</v>
      </c>
      <c r="E28" s="9">
        <f t="shared" si="10"/>
        <v>0.51987767584097855</v>
      </c>
      <c r="F28" s="8">
        <f t="shared" si="11"/>
        <v>1.3256880733944953</v>
      </c>
      <c r="G28" s="7">
        <f t="shared" si="12"/>
        <v>0</v>
      </c>
      <c r="H28" s="8">
        <f t="shared" si="13"/>
        <v>9.81</v>
      </c>
      <c r="I28" s="9">
        <f t="shared" si="14"/>
        <v>2.4974515800203876</v>
      </c>
      <c r="J28" s="8">
        <f t="shared" si="15"/>
        <v>30.593781855249752</v>
      </c>
      <c r="K28" s="8">
        <f t="shared" si="16"/>
        <v>-29.268093781855256</v>
      </c>
      <c r="L28" s="8">
        <f t="shared" si="17"/>
        <v>0</v>
      </c>
    </row>
    <row r="29" spans="1:12" x14ac:dyDescent="0.25">
      <c r="A29" s="7">
        <v>28</v>
      </c>
      <c r="B29" s="7">
        <v>10</v>
      </c>
      <c r="C29" s="13">
        <v>3</v>
      </c>
      <c r="D29" s="7">
        <f t="shared" si="9"/>
        <v>13</v>
      </c>
      <c r="E29" s="9">
        <f t="shared" si="10"/>
        <v>1.3251783893985729</v>
      </c>
      <c r="F29" s="8">
        <f t="shared" si="11"/>
        <v>8.6136595310907236</v>
      </c>
      <c r="G29" s="7">
        <f t="shared" si="12"/>
        <v>0</v>
      </c>
      <c r="H29" s="8">
        <f t="shared" si="13"/>
        <v>9.81</v>
      </c>
      <c r="I29" s="9">
        <f t="shared" si="14"/>
        <v>1.6921508664627931</v>
      </c>
      <c r="J29" s="8">
        <f t="shared" si="15"/>
        <v>14.044852191641183</v>
      </c>
      <c r="K29" s="8">
        <f t="shared" si="16"/>
        <v>-5.4311926605504599</v>
      </c>
      <c r="L29" s="8">
        <f t="shared" si="17"/>
        <v>0</v>
      </c>
    </row>
    <row r="30" spans="1:12" x14ac:dyDescent="0.25">
      <c r="A30" s="7">
        <v>29</v>
      </c>
      <c r="B30" s="7">
        <v>10</v>
      </c>
      <c r="C30" s="13">
        <v>-3.3</v>
      </c>
      <c r="D30" s="7">
        <f t="shared" si="9"/>
        <v>6.7</v>
      </c>
      <c r="E30" s="9">
        <f t="shared" si="10"/>
        <v>0.68297655453618755</v>
      </c>
      <c r="F30" s="8">
        <f t="shared" si="11"/>
        <v>2.2879714576962282</v>
      </c>
      <c r="G30" s="7">
        <f t="shared" si="12"/>
        <v>0</v>
      </c>
      <c r="H30" s="8">
        <f t="shared" si="13"/>
        <v>9.81</v>
      </c>
      <c r="I30" s="9">
        <f t="shared" si="14"/>
        <v>2.3343527013251784</v>
      </c>
      <c r="J30" s="8">
        <f t="shared" si="15"/>
        <v>26.728338430173295</v>
      </c>
      <c r="K30" s="8">
        <f t="shared" si="16"/>
        <v>-24.440366972477065</v>
      </c>
      <c r="L30" s="8">
        <f t="shared" si="17"/>
        <v>0</v>
      </c>
    </row>
    <row r="31" spans="1:12" x14ac:dyDescent="0.25">
      <c r="A31" s="7">
        <v>30</v>
      </c>
      <c r="B31" s="7">
        <v>10</v>
      </c>
      <c r="C31" s="13">
        <v>-4.9000000000000004</v>
      </c>
      <c r="D31" s="7">
        <f t="shared" si="9"/>
        <v>5.0999999999999996</v>
      </c>
      <c r="E31" s="9">
        <f t="shared" si="10"/>
        <v>0.51987767584097855</v>
      </c>
      <c r="F31" s="8">
        <f t="shared" si="11"/>
        <v>1.3256880733944953</v>
      </c>
      <c r="G31" s="7">
        <f t="shared" si="12"/>
        <v>0</v>
      </c>
      <c r="H31" s="8">
        <f t="shared" si="13"/>
        <v>9.81</v>
      </c>
      <c r="I31" s="9">
        <f t="shared" si="14"/>
        <v>2.4974515800203876</v>
      </c>
      <c r="J31" s="8">
        <f t="shared" si="15"/>
        <v>30.593781855249752</v>
      </c>
      <c r="K31" s="8">
        <f t="shared" si="16"/>
        <v>-29.268093781855256</v>
      </c>
      <c r="L31" s="8">
        <f t="shared" si="17"/>
        <v>0</v>
      </c>
    </row>
    <row r="32" spans="1:12" x14ac:dyDescent="0.25">
      <c r="A32" s="7">
        <v>31</v>
      </c>
      <c r="B32" s="7">
        <v>10</v>
      </c>
      <c r="C32" s="13">
        <v>-0.4</v>
      </c>
      <c r="D32" s="7">
        <f t="shared" si="9"/>
        <v>9.6</v>
      </c>
      <c r="E32" s="9">
        <f t="shared" si="10"/>
        <v>0.97859327217125369</v>
      </c>
      <c r="F32" s="8">
        <f t="shared" si="11"/>
        <v>4.6972477064220177</v>
      </c>
      <c r="G32" s="7">
        <f t="shared" si="12"/>
        <v>0</v>
      </c>
      <c r="H32" s="8">
        <f t="shared" si="13"/>
        <v>9.81</v>
      </c>
      <c r="I32" s="9">
        <f t="shared" si="14"/>
        <v>2.0387359836901124</v>
      </c>
      <c r="J32" s="8">
        <f t="shared" si="15"/>
        <v>20.38735983690113</v>
      </c>
      <c r="K32" s="8">
        <f t="shared" si="16"/>
        <v>-15.690112130479111</v>
      </c>
      <c r="L32" s="8">
        <f t="shared" si="17"/>
        <v>0</v>
      </c>
    </row>
    <row r="33" spans="1:12" x14ac:dyDescent="0.25">
      <c r="A33" s="7">
        <v>32</v>
      </c>
      <c r="B33" s="7">
        <v>10</v>
      </c>
      <c r="C33" s="13">
        <v>-1.4</v>
      </c>
      <c r="D33" s="7">
        <f t="shared" si="9"/>
        <v>8.6</v>
      </c>
      <c r="E33" s="9">
        <f t="shared" si="10"/>
        <v>0.87665647298674809</v>
      </c>
      <c r="F33" s="8">
        <f t="shared" si="11"/>
        <v>3.7696228338430169</v>
      </c>
      <c r="G33" s="7">
        <f t="shared" si="12"/>
        <v>0</v>
      </c>
      <c r="H33" s="8">
        <f t="shared" si="13"/>
        <v>9.81</v>
      </c>
      <c r="I33" s="9">
        <f t="shared" si="14"/>
        <v>2.1406727828746179</v>
      </c>
      <c r="J33" s="8">
        <f t="shared" si="15"/>
        <v>22.477064220183493</v>
      </c>
      <c r="K33" s="8">
        <f t="shared" si="16"/>
        <v>-18.707441386340477</v>
      </c>
      <c r="L33" s="8">
        <f t="shared" si="17"/>
        <v>0</v>
      </c>
    </row>
    <row r="34" spans="1:12" x14ac:dyDescent="0.25">
      <c r="A34" s="7">
        <v>33</v>
      </c>
      <c r="B34" s="7">
        <v>10</v>
      </c>
      <c r="C34" s="13">
        <v>-4.3</v>
      </c>
      <c r="D34" s="7">
        <f t="shared" si="9"/>
        <v>5.7</v>
      </c>
      <c r="E34" s="9">
        <f t="shared" si="10"/>
        <v>0.58103975535168195</v>
      </c>
      <c r="F34" s="8">
        <f t="shared" si="11"/>
        <v>1.6559633027522935</v>
      </c>
      <c r="G34" s="7">
        <f t="shared" si="12"/>
        <v>0</v>
      </c>
      <c r="H34" s="8">
        <f t="shared" si="13"/>
        <v>9.81</v>
      </c>
      <c r="I34" s="9">
        <f t="shared" si="14"/>
        <v>2.4362895005096838</v>
      </c>
      <c r="J34" s="8">
        <f t="shared" si="15"/>
        <v>29.113659531090722</v>
      </c>
      <c r="K34" s="8">
        <f t="shared" si="16"/>
        <v>-27.457696228338428</v>
      </c>
      <c r="L34" s="8">
        <f t="shared" si="17"/>
        <v>0</v>
      </c>
    </row>
    <row r="35" spans="1:12" x14ac:dyDescent="0.25">
      <c r="A35" s="7">
        <v>34</v>
      </c>
      <c r="B35" s="7">
        <v>10</v>
      </c>
      <c r="C35" s="13">
        <v>-3.6</v>
      </c>
      <c r="D35" s="7">
        <f t="shared" si="9"/>
        <v>6.4</v>
      </c>
      <c r="E35" s="9">
        <f t="shared" si="10"/>
        <v>0.65239551478083591</v>
      </c>
      <c r="F35" s="8">
        <f t="shared" si="11"/>
        <v>2.087665647298675</v>
      </c>
      <c r="G35" s="7">
        <f t="shared" si="12"/>
        <v>0</v>
      </c>
      <c r="H35" s="8">
        <f t="shared" si="13"/>
        <v>9.81</v>
      </c>
      <c r="I35" s="9">
        <f t="shared" si="14"/>
        <v>2.36493374108053</v>
      </c>
      <c r="J35" s="8">
        <f t="shared" si="15"/>
        <v>27.433231396534147</v>
      </c>
      <c r="K35" s="8">
        <f t="shared" si="16"/>
        <v>-25.345565749235472</v>
      </c>
      <c r="L35" s="8">
        <f t="shared" si="17"/>
        <v>0</v>
      </c>
    </row>
    <row r="36" spans="1:12" x14ac:dyDescent="0.25">
      <c r="A36" s="7">
        <v>35</v>
      </c>
      <c r="B36" s="7">
        <v>10</v>
      </c>
      <c r="C36" s="13">
        <v>3.4</v>
      </c>
      <c r="D36" s="7">
        <f t="shared" si="9"/>
        <v>13.4</v>
      </c>
      <c r="E36" s="9">
        <f t="shared" si="10"/>
        <v>1.3659531090723751</v>
      </c>
      <c r="F36" s="8">
        <f t="shared" si="11"/>
        <v>9.1518858307849129</v>
      </c>
      <c r="G36" s="7">
        <f t="shared" si="12"/>
        <v>0</v>
      </c>
      <c r="H36" s="8">
        <f t="shared" si="13"/>
        <v>9.81</v>
      </c>
      <c r="I36" s="9">
        <f t="shared" si="14"/>
        <v>1.6513761467889909</v>
      </c>
      <c r="J36" s="8">
        <f t="shared" si="15"/>
        <v>13.376146788990829</v>
      </c>
      <c r="K36" s="8">
        <f t="shared" si="16"/>
        <v>-4.2242609582059156</v>
      </c>
      <c r="L36" s="8">
        <f t="shared" si="17"/>
        <v>0</v>
      </c>
    </row>
    <row r="37" spans="1:12" x14ac:dyDescent="0.25">
      <c r="A37" s="7">
        <v>36</v>
      </c>
      <c r="B37" s="7">
        <v>10</v>
      </c>
      <c r="C37" s="13">
        <v>-2.7</v>
      </c>
      <c r="D37" s="7">
        <f t="shared" si="9"/>
        <v>7.3</v>
      </c>
      <c r="E37" s="9">
        <f t="shared" si="10"/>
        <v>0.74413863404689085</v>
      </c>
      <c r="F37" s="8">
        <f t="shared" si="11"/>
        <v>2.7161060142711517</v>
      </c>
      <c r="G37" s="7">
        <f t="shared" si="12"/>
        <v>0</v>
      </c>
      <c r="H37" s="8">
        <f t="shared" si="13"/>
        <v>9.81</v>
      </c>
      <c r="I37" s="9">
        <f t="shared" si="14"/>
        <v>2.2731906218144751</v>
      </c>
      <c r="J37" s="8">
        <f t="shared" si="15"/>
        <v>25.346075433231398</v>
      </c>
      <c r="K37" s="8">
        <f t="shared" si="16"/>
        <v>-22.629969418960247</v>
      </c>
      <c r="L37" s="8">
        <f t="shared" si="17"/>
        <v>0</v>
      </c>
    </row>
    <row r="38" spans="1:12" x14ac:dyDescent="0.25">
      <c r="A38" s="7">
        <v>37</v>
      </c>
      <c r="B38" s="7">
        <v>10</v>
      </c>
      <c r="C38" s="13">
        <v>4.2</v>
      </c>
      <c r="D38" s="7">
        <f t="shared" si="9"/>
        <v>14.2</v>
      </c>
      <c r="E38" s="9">
        <f t="shared" si="10"/>
        <v>1.4475025484199795</v>
      </c>
      <c r="F38" s="8">
        <f t="shared" si="11"/>
        <v>10.277268093781855</v>
      </c>
      <c r="G38" s="7">
        <f t="shared" si="12"/>
        <v>0</v>
      </c>
      <c r="H38" s="8">
        <f t="shared" si="13"/>
        <v>9.81</v>
      </c>
      <c r="I38" s="9">
        <f t="shared" si="14"/>
        <v>1.5698267074413865</v>
      </c>
      <c r="J38" s="8">
        <f t="shared" si="15"/>
        <v>12.087665647298678</v>
      </c>
      <c r="K38" s="8">
        <f t="shared" si="16"/>
        <v>-1.8103975535168235</v>
      </c>
      <c r="L38" s="8">
        <f t="shared" si="17"/>
        <v>0</v>
      </c>
    </row>
    <row r="39" spans="1:12" x14ac:dyDescent="0.25">
      <c r="A39" s="7">
        <v>38</v>
      </c>
      <c r="B39" s="7">
        <v>10</v>
      </c>
      <c r="C39" s="13">
        <v>3.1</v>
      </c>
      <c r="D39" s="7">
        <f t="shared" si="9"/>
        <v>13.1</v>
      </c>
      <c r="E39" s="9">
        <f t="shared" si="10"/>
        <v>1.3353720693170232</v>
      </c>
      <c r="F39" s="8">
        <f t="shared" si="11"/>
        <v>8.746687054026502</v>
      </c>
      <c r="G39" s="7">
        <f t="shared" si="12"/>
        <v>0</v>
      </c>
      <c r="H39" s="8">
        <f t="shared" si="13"/>
        <v>9.81</v>
      </c>
      <c r="I39" s="9">
        <f t="shared" si="14"/>
        <v>1.6819571865443428</v>
      </c>
      <c r="J39" s="8">
        <f t="shared" si="15"/>
        <v>13.87614678899083</v>
      </c>
      <c r="K39" s="8">
        <f t="shared" si="16"/>
        <v>-5.1294597349643283</v>
      </c>
      <c r="L39" s="8">
        <f t="shared" si="17"/>
        <v>0</v>
      </c>
    </row>
    <row r="40" spans="1:12" x14ac:dyDescent="0.25">
      <c r="A40" s="7">
        <v>39</v>
      </c>
      <c r="B40" s="7">
        <v>10</v>
      </c>
      <c r="C40" s="13">
        <v>-1.5</v>
      </c>
      <c r="D40" s="7">
        <f t="shared" si="9"/>
        <v>8.5</v>
      </c>
      <c r="E40" s="9">
        <f t="shared" si="10"/>
        <v>0.86646279306829765</v>
      </c>
      <c r="F40" s="8">
        <f t="shared" si="11"/>
        <v>3.682466870540265</v>
      </c>
      <c r="G40" s="7">
        <f t="shared" si="12"/>
        <v>0</v>
      </c>
      <c r="H40" s="8">
        <f t="shared" si="13"/>
        <v>9.81</v>
      </c>
      <c r="I40" s="9">
        <f t="shared" si="14"/>
        <v>2.1508664627930685</v>
      </c>
      <c r="J40" s="8">
        <f t="shared" si="15"/>
        <v>22.691641182466874</v>
      </c>
      <c r="K40" s="8">
        <f t="shared" si="16"/>
        <v>-19.009174311926611</v>
      </c>
      <c r="L40" s="8">
        <f t="shared" si="17"/>
        <v>0</v>
      </c>
    </row>
    <row r="41" spans="1:12" x14ac:dyDescent="0.25">
      <c r="A41" s="7">
        <v>40</v>
      </c>
      <c r="B41" s="7">
        <v>10</v>
      </c>
      <c r="C41" s="13">
        <v>-2.2000000000000002</v>
      </c>
      <c r="D41" s="7">
        <f t="shared" si="9"/>
        <v>7.8</v>
      </c>
      <c r="E41" s="9">
        <f t="shared" si="10"/>
        <v>0.7951070336391437</v>
      </c>
      <c r="F41" s="8">
        <f t="shared" si="11"/>
        <v>3.1009174311926602</v>
      </c>
      <c r="G41" s="7">
        <f t="shared" si="12"/>
        <v>0</v>
      </c>
      <c r="H41" s="8">
        <f t="shared" si="13"/>
        <v>9.81</v>
      </c>
      <c r="I41" s="9">
        <f t="shared" si="14"/>
        <v>2.2222222222222223</v>
      </c>
      <c r="J41" s="8">
        <f t="shared" si="15"/>
        <v>24.222222222222225</v>
      </c>
      <c r="K41" s="8">
        <f t="shared" si="16"/>
        <v>-21.121304791029566</v>
      </c>
      <c r="L41" s="8">
        <f t="shared" si="17"/>
        <v>0</v>
      </c>
    </row>
    <row r="42" spans="1:12" x14ac:dyDescent="0.25">
      <c r="A42" s="7">
        <v>41</v>
      </c>
      <c r="B42" s="7">
        <v>10</v>
      </c>
      <c r="C42" s="13">
        <v>-2</v>
      </c>
      <c r="D42" s="7">
        <f t="shared" si="9"/>
        <v>8</v>
      </c>
      <c r="E42" s="9">
        <f t="shared" si="10"/>
        <v>0.8154943934760448</v>
      </c>
      <c r="F42" s="8">
        <f t="shared" si="11"/>
        <v>3.2619775739041792</v>
      </c>
      <c r="G42" s="7">
        <f t="shared" si="12"/>
        <v>0</v>
      </c>
      <c r="H42" s="8">
        <f t="shared" si="13"/>
        <v>9.81</v>
      </c>
      <c r="I42" s="9">
        <f t="shared" si="14"/>
        <v>2.2018348623853212</v>
      </c>
      <c r="J42" s="8">
        <f t="shared" si="15"/>
        <v>23.779816513761471</v>
      </c>
      <c r="K42" s="8">
        <f t="shared" si="16"/>
        <v>-20.517838939857292</v>
      </c>
      <c r="L42" s="8">
        <f t="shared" si="17"/>
        <v>0</v>
      </c>
    </row>
    <row r="43" spans="1:12" x14ac:dyDescent="0.25">
      <c r="A43" s="7">
        <v>42</v>
      </c>
      <c r="B43" s="7">
        <v>10</v>
      </c>
      <c r="C43" s="13">
        <v>4.5999999999999996</v>
      </c>
      <c r="D43" s="7">
        <f t="shared" si="9"/>
        <v>14.6</v>
      </c>
      <c r="E43" s="9">
        <f t="shared" si="10"/>
        <v>1.4882772680937817</v>
      </c>
      <c r="F43" s="8">
        <f t="shared" si="11"/>
        <v>10.864424057084607</v>
      </c>
      <c r="G43" s="7">
        <f t="shared" si="12"/>
        <v>0</v>
      </c>
      <c r="H43" s="8">
        <f t="shared" si="13"/>
        <v>9.81</v>
      </c>
      <c r="I43" s="9">
        <f t="shared" si="14"/>
        <v>1.5290519877675843</v>
      </c>
      <c r="J43" s="8">
        <f t="shared" si="15"/>
        <v>11.467889908256884</v>
      </c>
      <c r="K43" s="8">
        <f t="shared" si="16"/>
        <v>-0.60346585117227747</v>
      </c>
      <c r="L43" s="8">
        <f t="shared" si="17"/>
        <v>0</v>
      </c>
    </row>
    <row r="44" spans="1:12" x14ac:dyDescent="0.25">
      <c r="A44" s="7">
        <v>43</v>
      </c>
      <c r="B44" s="7">
        <v>10</v>
      </c>
      <c r="C44" s="13">
        <v>-3.3</v>
      </c>
      <c r="D44" s="7">
        <f t="shared" si="9"/>
        <v>6.7</v>
      </c>
      <c r="E44" s="9">
        <f t="shared" si="10"/>
        <v>0.68297655453618755</v>
      </c>
      <c r="F44" s="8">
        <f t="shared" si="11"/>
        <v>2.2879714576962282</v>
      </c>
      <c r="G44" s="7">
        <f t="shared" si="12"/>
        <v>0</v>
      </c>
      <c r="H44" s="8">
        <f t="shared" si="13"/>
        <v>9.81</v>
      </c>
      <c r="I44" s="9">
        <f t="shared" si="14"/>
        <v>2.3343527013251784</v>
      </c>
      <c r="J44" s="8">
        <f t="shared" si="15"/>
        <v>26.728338430173295</v>
      </c>
      <c r="K44" s="8">
        <f t="shared" si="16"/>
        <v>-24.440366972477065</v>
      </c>
      <c r="L44" s="8">
        <f t="shared" si="17"/>
        <v>0</v>
      </c>
    </row>
    <row r="45" spans="1:12" x14ac:dyDescent="0.25">
      <c r="A45" s="7">
        <v>44</v>
      </c>
      <c r="B45" s="7">
        <v>10</v>
      </c>
      <c r="C45" s="13">
        <v>-0.5</v>
      </c>
      <c r="D45" s="7">
        <f t="shared" si="9"/>
        <v>9.5</v>
      </c>
      <c r="E45" s="9">
        <f t="shared" si="10"/>
        <v>0.96839959225280325</v>
      </c>
      <c r="F45" s="8">
        <f t="shared" si="11"/>
        <v>4.5998980632008148</v>
      </c>
      <c r="G45" s="7">
        <f t="shared" si="12"/>
        <v>0</v>
      </c>
      <c r="H45" s="8">
        <f t="shared" si="13"/>
        <v>9.81</v>
      </c>
      <c r="I45" s="9">
        <f t="shared" si="14"/>
        <v>2.048929663608563</v>
      </c>
      <c r="J45" s="8">
        <f t="shared" si="15"/>
        <v>20.591743119266063</v>
      </c>
      <c r="K45" s="8">
        <f t="shared" si="16"/>
        <v>-15.991845056065248</v>
      </c>
      <c r="L45" s="8">
        <f t="shared" si="17"/>
        <v>0</v>
      </c>
    </row>
    <row r="46" spans="1:12" x14ac:dyDescent="0.25">
      <c r="A46" s="7">
        <v>45</v>
      </c>
      <c r="B46" s="7">
        <v>10</v>
      </c>
      <c r="C46" s="13">
        <v>2.5</v>
      </c>
      <c r="D46" s="7">
        <f t="shared" si="9"/>
        <v>12.5</v>
      </c>
      <c r="E46" s="9">
        <f t="shared" si="10"/>
        <v>1.2742099898063199</v>
      </c>
      <c r="F46" s="8">
        <f t="shared" si="11"/>
        <v>7.9638124362895004</v>
      </c>
      <c r="G46" s="7">
        <f t="shared" si="12"/>
        <v>0</v>
      </c>
      <c r="H46" s="8">
        <f t="shared" si="13"/>
        <v>9.81</v>
      </c>
      <c r="I46" s="9">
        <f t="shared" si="14"/>
        <v>1.7431192660550461</v>
      </c>
      <c r="J46" s="8">
        <f t="shared" si="15"/>
        <v>14.903669724770646</v>
      </c>
      <c r="K46" s="8">
        <f t="shared" si="16"/>
        <v>-6.9398572884811456</v>
      </c>
      <c r="L46" s="8">
        <f t="shared" si="17"/>
        <v>0</v>
      </c>
    </row>
    <row r="47" spans="1:12" x14ac:dyDescent="0.25">
      <c r="A47" s="7">
        <v>46</v>
      </c>
      <c r="B47" s="7">
        <v>10</v>
      </c>
      <c r="C47" s="13">
        <v>1.8</v>
      </c>
      <c r="D47" s="7">
        <f t="shared" si="9"/>
        <v>11.8</v>
      </c>
      <c r="E47" s="9">
        <f t="shared" si="10"/>
        <v>1.2028542303771661</v>
      </c>
      <c r="F47" s="8">
        <f t="shared" si="11"/>
        <v>7.0968399592252807</v>
      </c>
      <c r="G47" s="7">
        <f t="shared" si="12"/>
        <v>0</v>
      </c>
      <c r="H47" s="8">
        <f t="shared" si="13"/>
        <v>9.81</v>
      </c>
      <c r="I47" s="9">
        <f t="shared" si="14"/>
        <v>1.8144750254841999</v>
      </c>
      <c r="J47" s="8">
        <f t="shared" si="15"/>
        <v>16.14882772680938</v>
      </c>
      <c r="K47" s="8">
        <f t="shared" si="16"/>
        <v>-9.0519877675840981</v>
      </c>
      <c r="L47" s="8">
        <f t="shared" si="17"/>
        <v>0</v>
      </c>
    </row>
    <row r="48" spans="1:12" x14ac:dyDescent="0.25">
      <c r="A48" s="7">
        <v>47</v>
      </c>
      <c r="B48" s="7">
        <v>10</v>
      </c>
      <c r="C48" s="13">
        <v>-3.8</v>
      </c>
      <c r="D48" s="7">
        <f t="shared" si="9"/>
        <v>6.2</v>
      </c>
      <c r="E48" s="9">
        <f t="shared" si="10"/>
        <v>0.6320081549439347</v>
      </c>
      <c r="F48" s="8">
        <f t="shared" si="11"/>
        <v>1.9592252803261978</v>
      </c>
      <c r="G48" s="7">
        <f t="shared" si="12"/>
        <v>0</v>
      </c>
      <c r="H48" s="8">
        <f t="shared" si="13"/>
        <v>9.81</v>
      </c>
      <c r="I48" s="9">
        <f t="shared" si="14"/>
        <v>2.3853211009174311</v>
      </c>
      <c r="J48" s="8">
        <f t="shared" si="15"/>
        <v>27.908256880733941</v>
      </c>
      <c r="K48" s="8">
        <f t="shared" si="16"/>
        <v>-25.949031600407743</v>
      </c>
      <c r="L48" s="8">
        <f t="shared" si="17"/>
        <v>0</v>
      </c>
    </row>
    <row r="49" spans="1:12" x14ac:dyDescent="0.25">
      <c r="A49" s="7">
        <v>48</v>
      </c>
      <c r="B49" s="7">
        <v>10</v>
      </c>
      <c r="C49" s="13">
        <v>-0.9</v>
      </c>
      <c r="D49" s="7">
        <f t="shared" si="9"/>
        <v>9.1</v>
      </c>
      <c r="E49" s="9">
        <f t="shared" si="10"/>
        <v>0.92762487257900095</v>
      </c>
      <c r="F49" s="8">
        <f t="shared" si="11"/>
        <v>4.2206931702344539</v>
      </c>
      <c r="G49" s="7">
        <f t="shared" si="12"/>
        <v>0</v>
      </c>
      <c r="H49" s="8">
        <f t="shared" si="13"/>
        <v>9.81</v>
      </c>
      <c r="I49" s="9">
        <f t="shared" si="14"/>
        <v>2.0897043832823652</v>
      </c>
      <c r="J49" s="8">
        <f t="shared" si="15"/>
        <v>21.419469928644247</v>
      </c>
      <c r="K49" s="8">
        <f t="shared" si="16"/>
        <v>-17.198776758409792</v>
      </c>
      <c r="L49" s="8">
        <f t="shared" si="17"/>
        <v>0</v>
      </c>
    </row>
    <row r="50" spans="1:12" x14ac:dyDescent="0.25">
      <c r="A50" s="7">
        <v>49</v>
      </c>
      <c r="B50" s="7">
        <v>10</v>
      </c>
      <c r="C50" s="13">
        <v>4.2</v>
      </c>
      <c r="D50" s="7">
        <f t="shared" si="9"/>
        <v>14.2</v>
      </c>
      <c r="E50" s="9">
        <f t="shared" si="10"/>
        <v>1.4475025484199795</v>
      </c>
      <c r="F50" s="8">
        <f t="shared" si="11"/>
        <v>10.277268093781855</v>
      </c>
      <c r="G50" s="7">
        <f t="shared" si="12"/>
        <v>0</v>
      </c>
      <c r="H50" s="8">
        <f t="shared" si="13"/>
        <v>9.81</v>
      </c>
      <c r="I50" s="9">
        <f t="shared" si="14"/>
        <v>1.5698267074413865</v>
      </c>
      <c r="J50" s="8">
        <f t="shared" si="15"/>
        <v>12.087665647298678</v>
      </c>
      <c r="K50" s="8">
        <f t="shared" si="16"/>
        <v>-1.8103975535168235</v>
      </c>
      <c r="L50" s="8">
        <f t="shared" si="17"/>
        <v>0</v>
      </c>
    </row>
    <row r="51" spans="1:12" x14ac:dyDescent="0.25">
      <c r="A51" s="7">
        <v>50</v>
      </c>
      <c r="B51" s="7">
        <v>10</v>
      </c>
      <c r="C51" s="13">
        <v>-0.7</v>
      </c>
      <c r="D51" s="7">
        <f t="shared" si="9"/>
        <v>9.3000000000000007</v>
      </c>
      <c r="E51" s="9">
        <f t="shared" si="10"/>
        <v>0.94801223241590216</v>
      </c>
      <c r="F51" s="8">
        <f t="shared" si="11"/>
        <v>4.4082568807339451</v>
      </c>
      <c r="G51" s="7">
        <f t="shared" si="12"/>
        <v>0</v>
      </c>
      <c r="H51" s="8">
        <f t="shared" si="13"/>
        <v>9.81</v>
      </c>
      <c r="I51" s="9">
        <f t="shared" si="14"/>
        <v>2.0693170234454641</v>
      </c>
      <c r="J51" s="8">
        <f t="shared" si="15"/>
        <v>21.003567787971466</v>
      </c>
      <c r="K51" s="8">
        <f t="shared" si="16"/>
        <v>-16.595310907237522</v>
      </c>
      <c r="L51" s="8">
        <f t="shared" si="17"/>
        <v>0</v>
      </c>
    </row>
    <row r="52" spans="1:12" x14ac:dyDescent="0.25">
      <c r="A52" s="7">
        <v>51</v>
      </c>
      <c r="B52" s="7">
        <v>10</v>
      </c>
      <c r="C52" s="13">
        <v>-2.9</v>
      </c>
      <c r="D52" s="7">
        <f t="shared" si="9"/>
        <v>7.1</v>
      </c>
      <c r="E52" s="9">
        <f t="shared" si="10"/>
        <v>0.72375127420998975</v>
      </c>
      <c r="F52" s="8">
        <f t="shared" si="11"/>
        <v>2.5693170234454636</v>
      </c>
      <c r="G52" s="7">
        <f t="shared" si="12"/>
        <v>0</v>
      </c>
      <c r="H52" s="8">
        <f t="shared" si="13"/>
        <v>9.81</v>
      </c>
      <c r="I52" s="9">
        <f t="shared" si="14"/>
        <v>2.2935779816513762</v>
      </c>
      <c r="J52" s="8">
        <f t="shared" si="15"/>
        <v>25.802752293577981</v>
      </c>
      <c r="K52" s="8">
        <f t="shared" si="16"/>
        <v>-23.233435270132517</v>
      </c>
      <c r="L52" s="8">
        <f t="shared" si="17"/>
        <v>0</v>
      </c>
    </row>
    <row r="53" spans="1:12" x14ac:dyDescent="0.25">
      <c r="A53" s="7">
        <v>52</v>
      </c>
      <c r="B53" s="7">
        <v>10</v>
      </c>
      <c r="C53" s="13">
        <v>-3.4</v>
      </c>
      <c r="D53" s="7">
        <f t="shared" si="9"/>
        <v>6.6</v>
      </c>
      <c r="E53" s="9">
        <f t="shared" si="10"/>
        <v>0.67278287461773689</v>
      </c>
      <c r="F53" s="8">
        <f t="shared" si="11"/>
        <v>2.2201834862385317</v>
      </c>
      <c r="G53" s="7">
        <f t="shared" si="12"/>
        <v>0</v>
      </c>
      <c r="H53" s="8">
        <f t="shared" si="13"/>
        <v>9.81</v>
      </c>
      <c r="I53" s="9">
        <f t="shared" si="14"/>
        <v>2.3445463812436289</v>
      </c>
      <c r="J53" s="8">
        <f t="shared" si="15"/>
        <v>26.962283384301731</v>
      </c>
      <c r="K53" s="8">
        <f t="shared" si="16"/>
        <v>-24.742099898063199</v>
      </c>
      <c r="L53" s="8">
        <f t="shared" si="17"/>
        <v>0</v>
      </c>
    </row>
    <row r="54" spans="1:12" x14ac:dyDescent="0.25">
      <c r="A54" s="7">
        <v>53</v>
      </c>
      <c r="B54" s="7">
        <v>10</v>
      </c>
      <c r="C54" s="13">
        <v>-1.5</v>
      </c>
      <c r="D54" s="7">
        <f t="shared" si="9"/>
        <v>8.5</v>
      </c>
      <c r="E54" s="9">
        <f t="shared" si="10"/>
        <v>0.86646279306829765</v>
      </c>
      <c r="F54" s="8">
        <f t="shared" si="11"/>
        <v>3.682466870540265</v>
      </c>
      <c r="G54" s="7">
        <f t="shared" si="12"/>
        <v>0</v>
      </c>
      <c r="H54" s="8">
        <f t="shared" si="13"/>
        <v>9.81</v>
      </c>
      <c r="I54" s="9">
        <f t="shared" si="14"/>
        <v>2.1508664627930685</v>
      </c>
      <c r="J54" s="8">
        <f t="shared" si="15"/>
        <v>22.691641182466874</v>
      </c>
      <c r="K54" s="8">
        <f t="shared" si="16"/>
        <v>-19.009174311926611</v>
      </c>
      <c r="L54" s="8">
        <f t="shared" si="17"/>
        <v>0</v>
      </c>
    </row>
    <row r="55" spans="1:12" x14ac:dyDescent="0.25">
      <c r="A55" s="7">
        <v>54</v>
      </c>
      <c r="B55" s="7">
        <v>10</v>
      </c>
      <c r="C55" s="13">
        <v>-2.1</v>
      </c>
      <c r="D55" s="7">
        <f t="shared" si="9"/>
        <v>7.9</v>
      </c>
      <c r="E55" s="9">
        <f t="shared" si="10"/>
        <v>0.80530071355759425</v>
      </c>
      <c r="F55" s="8">
        <f t="shared" si="11"/>
        <v>3.1809378185524975</v>
      </c>
      <c r="G55" s="7">
        <f t="shared" si="12"/>
        <v>0</v>
      </c>
      <c r="H55" s="8">
        <f t="shared" si="13"/>
        <v>9.81</v>
      </c>
      <c r="I55" s="9">
        <f t="shared" si="14"/>
        <v>2.2120285423037718</v>
      </c>
      <c r="J55" s="8">
        <f t="shared" si="15"/>
        <v>24.000509683995926</v>
      </c>
      <c r="K55" s="8">
        <f t="shared" si="16"/>
        <v>-20.819571865443429</v>
      </c>
      <c r="L55" s="8">
        <f t="shared" si="17"/>
        <v>0</v>
      </c>
    </row>
    <row r="56" spans="1:12" x14ac:dyDescent="0.25">
      <c r="A56" s="7">
        <v>55</v>
      </c>
      <c r="B56" s="7">
        <v>10</v>
      </c>
      <c r="C56" s="13">
        <v>-3.9</v>
      </c>
      <c r="D56" s="7">
        <f t="shared" si="9"/>
        <v>6.1</v>
      </c>
      <c r="E56" s="9">
        <f t="shared" si="10"/>
        <v>0.62181447502548415</v>
      </c>
      <c r="F56" s="8">
        <f t="shared" si="11"/>
        <v>1.8965341488277263</v>
      </c>
      <c r="G56" s="7">
        <f t="shared" si="12"/>
        <v>0</v>
      </c>
      <c r="H56" s="8">
        <f t="shared" si="13"/>
        <v>9.81</v>
      </c>
      <c r="I56" s="9">
        <f t="shared" si="14"/>
        <v>2.3955147808358817</v>
      </c>
      <c r="J56" s="8">
        <f t="shared" si="15"/>
        <v>28.147298674821609</v>
      </c>
      <c r="K56" s="8">
        <f t="shared" si="16"/>
        <v>-26.250764525993883</v>
      </c>
      <c r="L56" s="8">
        <f t="shared" si="17"/>
        <v>0</v>
      </c>
    </row>
    <row r="57" spans="1:12" x14ac:dyDescent="0.25">
      <c r="A57" s="7">
        <v>56</v>
      </c>
      <c r="B57" s="7">
        <v>10</v>
      </c>
      <c r="C57" s="13">
        <v>-0.4</v>
      </c>
      <c r="D57" s="7">
        <f t="shared" si="9"/>
        <v>9.6</v>
      </c>
      <c r="E57" s="9">
        <f t="shared" si="10"/>
        <v>0.97859327217125369</v>
      </c>
      <c r="F57" s="8">
        <f t="shared" si="11"/>
        <v>4.6972477064220177</v>
      </c>
      <c r="G57" s="7">
        <f t="shared" si="12"/>
        <v>0</v>
      </c>
      <c r="H57" s="8">
        <f t="shared" si="13"/>
        <v>9.81</v>
      </c>
      <c r="I57" s="9">
        <f t="shared" si="14"/>
        <v>2.0387359836901124</v>
      </c>
      <c r="J57" s="8">
        <f t="shared" si="15"/>
        <v>20.38735983690113</v>
      </c>
      <c r="K57" s="8">
        <f t="shared" si="16"/>
        <v>-15.690112130479111</v>
      </c>
      <c r="L57" s="8">
        <f t="shared" si="17"/>
        <v>0</v>
      </c>
    </row>
    <row r="58" spans="1:12" x14ac:dyDescent="0.25">
      <c r="A58" s="7">
        <v>57</v>
      </c>
      <c r="B58" s="7">
        <v>10</v>
      </c>
      <c r="C58" s="13">
        <v>-1</v>
      </c>
      <c r="D58" s="7">
        <f t="shared" si="9"/>
        <v>9</v>
      </c>
      <c r="E58" s="9">
        <f t="shared" si="10"/>
        <v>0.9174311926605504</v>
      </c>
      <c r="F58" s="8">
        <f t="shared" si="11"/>
        <v>4.1284403669724767</v>
      </c>
      <c r="G58" s="7">
        <f t="shared" si="12"/>
        <v>0</v>
      </c>
      <c r="H58" s="8">
        <f t="shared" si="13"/>
        <v>9.81</v>
      </c>
      <c r="I58" s="9">
        <f t="shared" si="14"/>
        <v>2.0998980632008157</v>
      </c>
      <c r="J58" s="8">
        <f t="shared" si="15"/>
        <v>21.628950050968406</v>
      </c>
      <c r="K58" s="8">
        <f t="shared" si="16"/>
        <v>-17.500509683995929</v>
      </c>
      <c r="L58" s="8">
        <f t="shared" si="17"/>
        <v>0</v>
      </c>
    </row>
    <row r="59" spans="1:12" x14ac:dyDescent="0.25">
      <c r="A59" s="7">
        <v>58</v>
      </c>
      <c r="B59" s="7">
        <v>10</v>
      </c>
      <c r="C59" s="13">
        <v>-0.4</v>
      </c>
      <c r="D59" s="7">
        <f t="shared" si="9"/>
        <v>9.6</v>
      </c>
      <c r="E59" s="9">
        <f t="shared" si="10"/>
        <v>0.97859327217125369</v>
      </c>
      <c r="F59" s="8">
        <f t="shared" si="11"/>
        <v>4.6972477064220177</v>
      </c>
      <c r="G59" s="7">
        <f t="shared" si="12"/>
        <v>0</v>
      </c>
      <c r="H59" s="8">
        <f t="shared" si="13"/>
        <v>9.81</v>
      </c>
      <c r="I59" s="9">
        <f t="shared" si="14"/>
        <v>2.0387359836901124</v>
      </c>
      <c r="J59" s="8">
        <f t="shared" si="15"/>
        <v>20.38735983690113</v>
      </c>
      <c r="K59" s="8">
        <f t="shared" si="16"/>
        <v>-15.690112130479111</v>
      </c>
      <c r="L59" s="8">
        <f t="shared" si="17"/>
        <v>0</v>
      </c>
    </row>
    <row r="60" spans="1:12" x14ac:dyDescent="0.25">
      <c r="A60" s="7">
        <v>59</v>
      </c>
      <c r="B60" s="7">
        <v>10</v>
      </c>
      <c r="C60" s="13">
        <v>-2.7</v>
      </c>
      <c r="D60" s="7">
        <f t="shared" si="9"/>
        <v>7.3</v>
      </c>
      <c r="E60" s="9">
        <f t="shared" si="10"/>
        <v>0.74413863404689085</v>
      </c>
      <c r="F60" s="8">
        <f t="shared" si="11"/>
        <v>2.7161060142711517</v>
      </c>
      <c r="G60" s="7">
        <f t="shared" si="12"/>
        <v>0</v>
      </c>
      <c r="H60" s="8">
        <f t="shared" si="13"/>
        <v>9.81</v>
      </c>
      <c r="I60" s="9">
        <f t="shared" si="14"/>
        <v>2.2731906218144751</v>
      </c>
      <c r="J60" s="8">
        <f t="shared" si="15"/>
        <v>25.346075433231398</v>
      </c>
      <c r="K60" s="8">
        <f t="shared" si="16"/>
        <v>-22.629969418960247</v>
      </c>
      <c r="L60" s="8">
        <f t="shared" si="17"/>
        <v>0</v>
      </c>
    </row>
    <row r="61" spans="1:12" x14ac:dyDescent="0.25">
      <c r="A61" s="7">
        <v>60</v>
      </c>
      <c r="B61" s="7">
        <v>10</v>
      </c>
      <c r="C61" s="13">
        <v>-1.1000000000000001</v>
      </c>
      <c r="D61" s="7">
        <f t="shared" si="9"/>
        <v>8.9</v>
      </c>
      <c r="E61" s="9">
        <f t="shared" si="10"/>
        <v>0.90723751274209985</v>
      </c>
      <c r="F61" s="8">
        <f t="shared" si="11"/>
        <v>4.0372069317023449</v>
      </c>
      <c r="G61" s="7">
        <f t="shared" si="12"/>
        <v>0</v>
      </c>
      <c r="H61" s="8">
        <f t="shared" si="13"/>
        <v>9.81</v>
      </c>
      <c r="I61" s="9">
        <f t="shared" si="14"/>
        <v>2.1100917431192663</v>
      </c>
      <c r="J61" s="8">
        <f t="shared" si="15"/>
        <v>21.839449541284409</v>
      </c>
      <c r="K61" s="8">
        <f t="shared" si="16"/>
        <v>-17.802242609582066</v>
      </c>
      <c r="L61" s="8">
        <f t="shared" si="17"/>
        <v>0</v>
      </c>
    </row>
    <row r="62" spans="1:12" x14ac:dyDescent="0.25">
      <c r="A62" s="7">
        <v>61</v>
      </c>
      <c r="B62" s="7">
        <v>10</v>
      </c>
      <c r="C62" s="13">
        <v>-1.6</v>
      </c>
      <c r="D62" s="7">
        <f t="shared" si="9"/>
        <v>8.4</v>
      </c>
      <c r="E62" s="9">
        <f t="shared" si="10"/>
        <v>0.85626911314984711</v>
      </c>
      <c r="F62" s="8">
        <f t="shared" si="11"/>
        <v>3.5963302752293576</v>
      </c>
      <c r="G62" s="7">
        <f t="shared" si="12"/>
        <v>0</v>
      </c>
      <c r="H62" s="8">
        <f t="shared" si="13"/>
        <v>9.81</v>
      </c>
      <c r="I62" s="9">
        <f t="shared" si="14"/>
        <v>2.161060142711519</v>
      </c>
      <c r="J62" s="8">
        <f t="shared" si="15"/>
        <v>22.907237512742103</v>
      </c>
      <c r="K62" s="8">
        <f t="shared" si="16"/>
        <v>-19.310907237512744</v>
      </c>
      <c r="L62" s="8">
        <f t="shared" si="17"/>
        <v>0</v>
      </c>
    </row>
    <row r="63" spans="1:12" x14ac:dyDescent="0.25">
      <c r="A63" s="7">
        <v>62</v>
      </c>
      <c r="B63" s="7">
        <v>10</v>
      </c>
      <c r="C63" s="13">
        <v>0.8</v>
      </c>
      <c r="D63" s="7">
        <f t="shared" si="9"/>
        <v>10.8</v>
      </c>
      <c r="E63" s="9">
        <f t="shared" si="10"/>
        <v>1.1009174311926606</v>
      </c>
      <c r="F63" s="8">
        <f t="shared" si="11"/>
        <v>5.9449541284403677</v>
      </c>
      <c r="G63" s="7">
        <f t="shared" si="12"/>
        <v>0</v>
      </c>
      <c r="H63" s="8">
        <f t="shared" si="13"/>
        <v>9.81</v>
      </c>
      <c r="I63" s="9">
        <f t="shared" si="14"/>
        <v>1.9164118246687054</v>
      </c>
      <c r="J63" s="8">
        <f t="shared" si="15"/>
        <v>18.014271151885833</v>
      </c>
      <c r="K63" s="8">
        <f t="shared" si="16"/>
        <v>-12.069317023445464</v>
      </c>
      <c r="L63" s="8">
        <f t="shared" si="17"/>
        <v>0</v>
      </c>
    </row>
    <row r="64" spans="1:12" x14ac:dyDescent="0.25">
      <c r="A64" s="7">
        <v>63</v>
      </c>
      <c r="B64" s="7">
        <v>10</v>
      </c>
      <c r="C64" s="13">
        <v>4.0999999999999996</v>
      </c>
      <c r="D64" s="7">
        <f t="shared" si="9"/>
        <v>14.1</v>
      </c>
      <c r="E64" s="9">
        <f t="shared" si="10"/>
        <v>1.4373088685015289</v>
      </c>
      <c r="F64" s="8">
        <f t="shared" si="11"/>
        <v>10.13302752293578</v>
      </c>
      <c r="G64" s="7">
        <f t="shared" si="12"/>
        <v>0</v>
      </c>
      <c r="H64" s="8">
        <f t="shared" si="13"/>
        <v>9.81</v>
      </c>
      <c r="I64" s="9">
        <f t="shared" si="14"/>
        <v>1.5800203873598371</v>
      </c>
      <c r="J64" s="8">
        <f t="shared" si="15"/>
        <v>12.245158002038739</v>
      </c>
      <c r="K64" s="8">
        <f t="shared" si="16"/>
        <v>-2.1121304791029587</v>
      </c>
      <c r="L64" s="8">
        <f t="shared" si="17"/>
        <v>0</v>
      </c>
    </row>
    <row r="65" spans="1:12" x14ac:dyDescent="0.25">
      <c r="A65" s="7">
        <v>64</v>
      </c>
      <c r="B65" s="7">
        <v>10</v>
      </c>
      <c r="C65" s="13">
        <v>2.8</v>
      </c>
      <c r="D65" s="7">
        <f t="shared" si="9"/>
        <v>12.8</v>
      </c>
      <c r="E65" s="9">
        <f t="shared" si="10"/>
        <v>1.3047910295616718</v>
      </c>
      <c r="F65" s="8">
        <f t="shared" si="11"/>
        <v>8.3506625891946999</v>
      </c>
      <c r="G65" s="7">
        <f t="shared" si="12"/>
        <v>0</v>
      </c>
      <c r="H65" s="8">
        <f t="shared" si="13"/>
        <v>9.81</v>
      </c>
      <c r="I65" s="9">
        <f t="shared" si="14"/>
        <v>1.7125382262996942</v>
      </c>
      <c r="J65" s="8">
        <f t="shared" si="15"/>
        <v>14.385321100917432</v>
      </c>
      <c r="K65" s="8">
        <f t="shared" si="16"/>
        <v>-6.034658511722732</v>
      </c>
      <c r="L65" s="8">
        <f t="shared" si="17"/>
        <v>0</v>
      </c>
    </row>
    <row r="66" spans="1:12" x14ac:dyDescent="0.25">
      <c r="A66" s="7">
        <v>65</v>
      </c>
      <c r="B66" s="7">
        <v>10</v>
      </c>
      <c r="C66" s="13">
        <v>-0.3</v>
      </c>
      <c r="D66" s="7">
        <f t="shared" si="9"/>
        <v>9.6999999999999993</v>
      </c>
      <c r="E66" s="9">
        <f t="shared" si="10"/>
        <v>0.98878695208970424</v>
      </c>
      <c r="F66" s="8">
        <f t="shared" si="11"/>
        <v>4.795616717635065</v>
      </c>
      <c r="G66" s="7">
        <f t="shared" si="12"/>
        <v>0</v>
      </c>
      <c r="H66" s="8">
        <f t="shared" si="13"/>
        <v>9.81</v>
      </c>
      <c r="I66" s="9">
        <f t="shared" si="14"/>
        <v>2.0285423037716619</v>
      </c>
      <c r="J66" s="8">
        <f t="shared" si="15"/>
        <v>20.183995922528041</v>
      </c>
      <c r="K66" s="8">
        <f t="shared" si="16"/>
        <v>-15.388379204892976</v>
      </c>
      <c r="L66" s="8">
        <f t="shared" si="17"/>
        <v>0</v>
      </c>
    </row>
    <row r="67" spans="1:12" x14ac:dyDescent="0.25">
      <c r="A67" s="7">
        <v>66</v>
      </c>
      <c r="B67" s="7">
        <v>10</v>
      </c>
      <c r="C67" s="13">
        <v>1.2</v>
      </c>
      <c r="D67" s="7">
        <f t="shared" ref="D67:D101" si="18">B67+C67</f>
        <v>11.2</v>
      </c>
      <c r="E67" s="9">
        <f t="shared" ref="E67:E101" si="19">D67/9.81</f>
        <v>1.1416921508664626</v>
      </c>
      <c r="F67" s="8">
        <f t="shared" ref="F67:F101" si="20">(D67*D67/(2*9.81))</f>
        <v>6.3934760448521901</v>
      </c>
      <c r="G67" s="7">
        <f t="shared" ref="G67:G101" si="21">IF(Clock&gt;E67,0,D67)</f>
        <v>0</v>
      </c>
      <c r="H67" s="8">
        <f t="shared" ref="H67:H101" si="22">IF(Clock&gt;E67,9.81,-9.81)</f>
        <v>9.81</v>
      </c>
      <c r="I67" s="9">
        <f t="shared" ref="I67:I101" si="23">IF(Clock&gt;E67,Clock-E67,Clock)</f>
        <v>1.8756371049949034</v>
      </c>
      <c r="J67" s="8">
        <f t="shared" ref="J67:J101" si="24">I67*G67+H67*I67*I67/2</f>
        <v>17.255861365953113</v>
      </c>
      <c r="K67" s="8">
        <f t="shared" ref="K67:K101" si="25">F67-H67*I67*I67/2</f>
        <v>-10.862385321100923</v>
      </c>
      <c r="L67" s="8">
        <f t="shared" ref="L67:L101" si="26">IF(Clock&gt;2*E67,0,IF(Clock&gt;E67,(K67),J67))</f>
        <v>0</v>
      </c>
    </row>
    <row r="68" spans="1:12" x14ac:dyDescent="0.25">
      <c r="A68" s="7">
        <v>67</v>
      </c>
      <c r="B68" s="7">
        <v>10</v>
      </c>
      <c r="C68" s="13">
        <v>-2.2000000000000002</v>
      </c>
      <c r="D68" s="7">
        <f t="shared" si="18"/>
        <v>7.8</v>
      </c>
      <c r="E68" s="9">
        <f t="shared" si="19"/>
        <v>0.7951070336391437</v>
      </c>
      <c r="F68" s="8">
        <f t="shared" si="20"/>
        <v>3.1009174311926602</v>
      </c>
      <c r="G68" s="7">
        <f t="shared" si="21"/>
        <v>0</v>
      </c>
      <c r="H68" s="8">
        <f t="shared" si="22"/>
        <v>9.81</v>
      </c>
      <c r="I68" s="9">
        <f t="shared" si="23"/>
        <v>2.2222222222222223</v>
      </c>
      <c r="J68" s="8">
        <f t="shared" si="24"/>
        <v>24.222222222222225</v>
      </c>
      <c r="K68" s="8">
        <f t="shared" si="25"/>
        <v>-21.121304791029566</v>
      </c>
      <c r="L68" s="8">
        <f t="shared" si="26"/>
        <v>0</v>
      </c>
    </row>
    <row r="69" spans="1:12" x14ac:dyDescent="0.25">
      <c r="A69" s="7">
        <v>68</v>
      </c>
      <c r="B69" s="7">
        <v>10</v>
      </c>
      <c r="C69" s="13">
        <v>1.1000000000000001</v>
      </c>
      <c r="D69" s="7">
        <f t="shared" si="18"/>
        <v>11.1</v>
      </c>
      <c r="E69" s="9">
        <f t="shared" si="19"/>
        <v>1.131498470948012</v>
      </c>
      <c r="F69" s="8">
        <f t="shared" si="20"/>
        <v>6.2798165137614674</v>
      </c>
      <c r="G69" s="7">
        <f t="shared" si="21"/>
        <v>0</v>
      </c>
      <c r="H69" s="8">
        <f t="shared" si="22"/>
        <v>9.81</v>
      </c>
      <c r="I69" s="9">
        <f t="shared" si="23"/>
        <v>1.885830784913354</v>
      </c>
      <c r="J69" s="8">
        <f t="shared" si="24"/>
        <v>17.443934760448528</v>
      </c>
      <c r="K69" s="8">
        <f t="shared" si="25"/>
        <v>-11.16411824668706</v>
      </c>
      <c r="L69" s="8">
        <f t="shared" si="26"/>
        <v>0</v>
      </c>
    </row>
    <row r="70" spans="1:12" x14ac:dyDescent="0.25">
      <c r="A70" s="7">
        <v>69</v>
      </c>
      <c r="B70" s="7">
        <v>10</v>
      </c>
      <c r="C70" s="13">
        <v>-3.6</v>
      </c>
      <c r="D70" s="7">
        <f t="shared" si="18"/>
        <v>6.4</v>
      </c>
      <c r="E70" s="9">
        <f t="shared" si="19"/>
        <v>0.65239551478083591</v>
      </c>
      <c r="F70" s="8">
        <f t="shared" si="20"/>
        <v>2.087665647298675</v>
      </c>
      <c r="G70" s="7">
        <f t="shared" si="21"/>
        <v>0</v>
      </c>
      <c r="H70" s="8">
        <f t="shared" si="22"/>
        <v>9.81</v>
      </c>
      <c r="I70" s="9">
        <f t="shared" si="23"/>
        <v>2.36493374108053</v>
      </c>
      <c r="J70" s="8">
        <f t="shared" si="24"/>
        <v>27.433231396534147</v>
      </c>
      <c r="K70" s="8">
        <f t="shared" si="25"/>
        <v>-25.345565749235472</v>
      </c>
      <c r="L70" s="8">
        <f t="shared" si="26"/>
        <v>0</v>
      </c>
    </row>
    <row r="71" spans="1:12" x14ac:dyDescent="0.25">
      <c r="A71" s="7">
        <v>70</v>
      </c>
      <c r="B71" s="7">
        <v>10</v>
      </c>
      <c r="C71" s="13">
        <v>4.3</v>
      </c>
      <c r="D71" s="7">
        <f t="shared" si="18"/>
        <v>14.3</v>
      </c>
      <c r="E71" s="9">
        <f t="shared" si="19"/>
        <v>1.4576962283384303</v>
      </c>
      <c r="F71" s="8">
        <f t="shared" si="20"/>
        <v>10.422528032619775</v>
      </c>
      <c r="G71" s="7">
        <f t="shared" si="21"/>
        <v>0</v>
      </c>
      <c r="H71" s="8">
        <f t="shared" si="22"/>
        <v>9.81</v>
      </c>
      <c r="I71" s="9">
        <f t="shared" si="23"/>
        <v>1.5596330275229358</v>
      </c>
      <c r="J71" s="8">
        <f t="shared" si="24"/>
        <v>11.93119266055046</v>
      </c>
      <c r="K71" s="8">
        <f t="shared" si="25"/>
        <v>-1.5086646279306848</v>
      </c>
      <c r="L71" s="8">
        <f t="shared" si="26"/>
        <v>0</v>
      </c>
    </row>
    <row r="72" spans="1:12" x14ac:dyDescent="0.25">
      <c r="A72" s="7">
        <v>71</v>
      </c>
      <c r="B72" s="7">
        <v>10</v>
      </c>
      <c r="C72" s="13">
        <v>-2.8</v>
      </c>
      <c r="D72" s="7">
        <f t="shared" si="18"/>
        <v>7.2</v>
      </c>
      <c r="E72" s="9">
        <f t="shared" si="19"/>
        <v>0.7339449541284403</v>
      </c>
      <c r="F72" s="8">
        <f t="shared" si="20"/>
        <v>2.6422018348623855</v>
      </c>
      <c r="G72" s="7">
        <f t="shared" si="21"/>
        <v>0</v>
      </c>
      <c r="H72" s="8">
        <f t="shared" si="22"/>
        <v>9.81</v>
      </c>
      <c r="I72" s="9">
        <f t="shared" si="23"/>
        <v>2.2833843017329256</v>
      </c>
      <c r="J72" s="8">
        <f t="shared" si="24"/>
        <v>25.573904179408768</v>
      </c>
      <c r="K72" s="8">
        <f t="shared" si="25"/>
        <v>-22.93170234454638</v>
      </c>
      <c r="L72" s="8">
        <f t="shared" si="26"/>
        <v>0</v>
      </c>
    </row>
    <row r="73" spans="1:12" x14ac:dyDescent="0.25">
      <c r="A73" s="7">
        <v>72</v>
      </c>
      <c r="B73" s="7">
        <v>10</v>
      </c>
      <c r="C73" s="13">
        <v>1.8</v>
      </c>
      <c r="D73" s="7">
        <f t="shared" si="18"/>
        <v>11.8</v>
      </c>
      <c r="E73" s="9">
        <f t="shared" si="19"/>
        <v>1.2028542303771661</v>
      </c>
      <c r="F73" s="8">
        <f t="shared" si="20"/>
        <v>7.0968399592252807</v>
      </c>
      <c r="G73" s="7">
        <f t="shared" si="21"/>
        <v>0</v>
      </c>
      <c r="H73" s="8">
        <f t="shared" si="22"/>
        <v>9.81</v>
      </c>
      <c r="I73" s="9">
        <f t="shared" si="23"/>
        <v>1.8144750254841999</v>
      </c>
      <c r="J73" s="8">
        <f t="shared" si="24"/>
        <v>16.14882772680938</v>
      </c>
      <c r="K73" s="8">
        <f t="shared" si="25"/>
        <v>-9.0519877675840981</v>
      </c>
      <c r="L73" s="8">
        <f t="shared" si="26"/>
        <v>0</v>
      </c>
    </row>
    <row r="74" spans="1:12" x14ac:dyDescent="0.25">
      <c r="A74" s="7">
        <v>73</v>
      </c>
      <c r="B74" s="7">
        <v>10</v>
      </c>
      <c r="C74" s="13">
        <v>4.5999999999999996</v>
      </c>
      <c r="D74" s="7">
        <f t="shared" si="18"/>
        <v>14.6</v>
      </c>
      <c r="E74" s="9">
        <f t="shared" si="19"/>
        <v>1.4882772680937817</v>
      </c>
      <c r="F74" s="8">
        <f t="shared" si="20"/>
        <v>10.864424057084607</v>
      </c>
      <c r="G74" s="7">
        <f t="shared" si="21"/>
        <v>0</v>
      </c>
      <c r="H74" s="8">
        <f t="shared" si="22"/>
        <v>9.81</v>
      </c>
      <c r="I74" s="9">
        <f t="shared" si="23"/>
        <v>1.5290519877675843</v>
      </c>
      <c r="J74" s="8">
        <f t="shared" si="24"/>
        <v>11.467889908256884</v>
      </c>
      <c r="K74" s="8">
        <f t="shared" si="25"/>
        <v>-0.60346585117227747</v>
      </c>
      <c r="L74" s="8">
        <f t="shared" si="26"/>
        <v>0</v>
      </c>
    </row>
    <row r="75" spans="1:12" x14ac:dyDescent="0.25">
      <c r="A75" s="7">
        <v>74</v>
      </c>
      <c r="B75" s="7">
        <v>10</v>
      </c>
      <c r="C75" s="13">
        <v>-2.5</v>
      </c>
      <c r="D75" s="7">
        <f t="shared" si="18"/>
        <v>7.5</v>
      </c>
      <c r="E75" s="9">
        <f t="shared" si="19"/>
        <v>0.76452599388379205</v>
      </c>
      <c r="F75" s="8">
        <f t="shared" si="20"/>
        <v>2.8669724770642202</v>
      </c>
      <c r="G75" s="7">
        <f t="shared" si="21"/>
        <v>0</v>
      </c>
      <c r="H75" s="8">
        <f t="shared" si="22"/>
        <v>9.81</v>
      </c>
      <c r="I75" s="9">
        <f t="shared" si="23"/>
        <v>2.252803261977574</v>
      </c>
      <c r="J75" s="8">
        <f t="shared" si="24"/>
        <v>24.893476044852193</v>
      </c>
      <c r="K75" s="8">
        <f t="shared" si="25"/>
        <v>-22.026503567787973</v>
      </c>
      <c r="L75" s="8">
        <f t="shared" si="26"/>
        <v>0</v>
      </c>
    </row>
    <row r="76" spans="1:12" x14ac:dyDescent="0.25">
      <c r="A76" s="7">
        <v>75</v>
      </c>
      <c r="B76" s="7">
        <v>10</v>
      </c>
      <c r="C76" s="13">
        <v>0</v>
      </c>
      <c r="D76" s="7">
        <f t="shared" si="18"/>
        <v>10</v>
      </c>
      <c r="E76" s="9">
        <f t="shared" si="19"/>
        <v>1.019367991845056</v>
      </c>
      <c r="F76" s="8">
        <f t="shared" si="20"/>
        <v>5.0968399592252798</v>
      </c>
      <c r="G76" s="7">
        <f t="shared" si="21"/>
        <v>0</v>
      </c>
      <c r="H76" s="8">
        <f t="shared" si="22"/>
        <v>9.81</v>
      </c>
      <c r="I76" s="9">
        <f t="shared" si="23"/>
        <v>1.99796126401631</v>
      </c>
      <c r="J76" s="8">
        <f t="shared" si="24"/>
        <v>19.580020387359841</v>
      </c>
      <c r="K76" s="8">
        <f t="shared" si="25"/>
        <v>-14.483180428134562</v>
      </c>
      <c r="L76" s="8">
        <f t="shared" si="26"/>
        <v>0</v>
      </c>
    </row>
    <row r="77" spans="1:12" x14ac:dyDescent="0.25">
      <c r="A77" s="7">
        <v>76</v>
      </c>
      <c r="B77" s="7">
        <v>10</v>
      </c>
      <c r="C77" s="13">
        <v>-2</v>
      </c>
      <c r="D77" s="7">
        <f t="shared" si="18"/>
        <v>8</v>
      </c>
      <c r="E77" s="9">
        <f t="shared" si="19"/>
        <v>0.8154943934760448</v>
      </c>
      <c r="F77" s="8">
        <f t="shared" si="20"/>
        <v>3.2619775739041792</v>
      </c>
      <c r="G77" s="7">
        <f t="shared" si="21"/>
        <v>0</v>
      </c>
      <c r="H77" s="8">
        <f t="shared" si="22"/>
        <v>9.81</v>
      </c>
      <c r="I77" s="9">
        <f t="shared" si="23"/>
        <v>2.2018348623853212</v>
      </c>
      <c r="J77" s="8">
        <f t="shared" si="24"/>
        <v>23.779816513761471</v>
      </c>
      <c r="K77" s="8">
        <f t="shared" si="25"/>
        <v>-20.517838939857292</v>
      </c>
      <c r="L77" s="8">
        <f t="shared" si="26"/>
        <v>0</v>
      </c>
    </row>
    <row r="78" spans="1:12" x14ac:dyDescent="0.25">
      <c r="A78" s="7">
        <v>77</v>
      </c>
      <c r="B78" s="7">
        <v>10</v>
      </c>
      <c r="C78" s="13">
        <v>-0.4</v>
      </c>
      <c r="D78" s="7">
        <f t="shared" si="18"/>
        <v>9.6</v>
      </c>
      <c r="E78" s="9">
        <f t="shared" si="19"/>
        <v>0.97859327217125369</v>
      </c>
      <c r="F78" s="8">
        <f t="shared" si="20"/>
        <v>4.6972477064220177</v>
      </c>
      <c r="G78" s="7">
        <f t="shared" si="21"/>
        <v>0</v>
      </c>
      <c r="H78" s="8">
        <f t="shared" si="22"/>
        <v>9.81</v>
      </c>
      <c r="I78" s="9">
        <f t="shared" si="23"/>
        <v>2.0387359836901124</v>
      </c>
      <c r="J78" s="8">
        <f t="shared" si="24"/>
        <v>20.38735983690113</v>
      </c>
      <c r="K78" s="8">
        <f t="shared" si="25"/>
        <v>-15.690112130479111</v>
      </c>
      <c r="L78" s="8">
        <f t="shared" si="26"/>
        <v>0</v>
      </c>
    </row>
    <row r="79" spans="1:12" x14ac:dyDescent="0.25">
      <c r="A79" s="7">
        <v>78</v>
      </c>
      <c r="B79" s="7">
        <v>10</v>
      </c>
      <c r="C79" s="13">
        <v>-4.4000000000000004</v>
      </c>
      <c r="D79" s="7">
        <f t="shared" si="18"/>
        <v>5.6</v>
      </c>
      <c r="E79" s="9">
        <f t="shared" si="19"/>
        <v>0.57084607543323129</v>
      </c>
      <c r="F79" s="8">
        <f t="shared" si="20"/>
        <v>1.5983690112130475</v>
      </c>
      <c r="G79" s="7">
        <f t="shared" si="21"/>
        <v>0</v>
      </c>
      <c r="H79" s="8">
        <f t="shared" si="22"/>
        <v>9.81</v>
      </c>
      <c r="I79" s="9">
        <f t="shared" si="23"/>
        <v>2.4464831804281348</v>
      </c>
      <c r="J79" s="8">
        <f t="shared" si="24"/>
        <v>29.357798165137623</v>
      </c>
      <c r="K79" s="8">
        <f t="shared" si="25"/>
        <v>-27.759429153924575</v>
      </c>
      <c r="L79" s="8">
        <f t="shared" si="26"/>
        <v>0</v>
      </c>
    </row>
    <row r="80" spans="1:12" x14ac:dyDescent="0.25">
      <c r="A80" s="7">
        <v>79</v>
      </c>
      <c r="B80" s="7">
        <v>10</v>
      </c>
      <c r="C80" s="13">
        <v>2.6</v>
      </c>
      <c r="D80" s="7">
        <f t="shared" si="18"/>
        <v>12.6</v>
      </c>
      <c r="E80" s="9">
        <f t="shared" si="19"/>
        <v>1.2844036697247705</v>
      </c>
      <c r="F80" s="8">
        <f t="shared" si="20"/>
        <v>8.0917431192660541</v>
      </c>
      <c r="G80" s="7">
        <f t="shared" si="21"/>
        <v>0</v>
      </c>
      <c r="H80" s="8">
        <f t="shared" si="22"/>
        <v>9.81</v>
      </c>
      <c r="I80" s="9">
        <f t="shared" si="23"/>
        <v>1.7329255861365955</v>
      </c>
      <c r="J80" s="8">
        <f t="shared" si="24"/>
        <v>14.729867482161065</v>
      </c>
      <c r="K80" s="8">
        <f t="shared" si="25"/>
        <v>-6.6381243628950113</v>
      </c>
      <c r="L80" s="8">
        <f t="shared" si="26"/>
        <v>0</v>
      </c>
    </row>
    <row r="81" spans="1:12" x14ac:dyDescent="0.25">
      <c r="A81" s="7">
        <v>80</v>
      </c>
      <c r="B81" s="7">
        <v>10</v>
      </c>
      <c r="C81" s="13">
        <v>3.9</v>
      </c>
      <c r="D81" s="7">
        <f t="shared" si="18"/>
        <v>13.9</v>
      </c>
      <c r="E81" s="9">
        <f t="shared" si="19"/>
        <v>1.4169215086646278</v>
      </c>
      <c r="F81" s="8">
        <f t="shared" si="20"/>
        <v>9.8476044852191649</v>
      </c>
      <c r="G81" s="7">
        <f t="shared" si="21"/>
        <v>0</v>
      </c>
      <c r="H81" s="8">
        <f t="shared" si="22"/>
        <v>9.81</v>
      </c>
      <c r="I81" s="9">
        <f t="shared" si="23"/>
        <v>1.6004077471967382</v>
      </c>
      <c r="J81" s="8">
        <f t="shared" si="24"/>
        <v>12.563200815494397</v>
      </c>
      <c r="K81" s="8">
        <f t="shared" si="25"/>
        <v>-2.7155963302752326</v>
      </c>
      <c r="L81" s="8">
        <f t="shared" si="26"/>
        <v>0</v>
      </c>
    </row>
    <row r="82" spans="1:12" x14ac:dyDescent="0.25">
      <c r="A82" s="7">
        <v>81</v>
      </c>
      <c r="B82" s="7">
        <v>10</v>
      </c>
      <c r="C82" s="13">
        <v>1.3</v>
      </c>
      <c r="D82" s="7">
        <f t="shared" si="18"/>
        <v>11.3</v>
      </c>
      <c r="E82" s="9">
        <f t="shared" si="19"/>
        <v>1.1518858307849134</v>
      </c>
      <c r="F82" s="8">
        <f t="shared" si="20"/>
        <v>6.5081549439347608</v>
      </c>
      <c r="G82" s="7">
        <f t="shared" si="21"/>
        <v>0</v>
      </c>
      <c r="H82" s="8">
        <f t="shared" si="22"/>
        <v>9.81</v>
      </c>
      <c r="I82" s="9">
        <f t="shared" si="23"/>
        <v>1.8654434250764527</v>
      </c>
      <c r="J82" s="8">
        <f t="shared" si="24"/>
        <v>17.068807339449542</v>
      </c>
      <c r="K82" s="8">
        <f t="shared" si="25"/>
        <v>-10.560652395514781</v>
      </c>
      <c r="L82" s="8">
        <f t="shared" si="26"/>
        <v>0</v>
      </c>
    </row>
    <row r="83" spans="1:12" x14ac:dyDescent="0.25">
      <c r="A83" s="7">
        <v>82</v>
      </c>
      <c r="B83" s="7">
        <v>10</v>
      </c>
      <c r="C83" s="13">
        <v>-3.5</v>
      </c>
      <c r="D83" s="7">
        <f t="shared" si="18"/>
        <v>6.5</v>
      </c>
      <c r="E83" s="9">
        <f t="shared" si="19"/>
        <v>0.66258919469928645</v>
      </c>
      <c r="F83" s="8">
        <f t="shared" si="20"/>
        <v>2.1534148827726809</v>
      </c>
      <c r="G83" s="7">
        <f t="shared" si="21"/>
        <v>0</v>
      </c>
      <c r="H83" s="8">
        <f t="shared" si="22"/>
        <v>9.81</v>
      </c>
      <c r="I83" s="9">
        <f t="shared" si="23"/>
        <v>2.3547400611620795</v>
      </c>
      <c r="J83" s="8">
        <f t="shared" si="24"/>
        <v>27.197247706422019</v>
      </c>
      <c r="K83" s="8">
        <f t="shared" si="25"/>
        <v>-25.043832823649339</v>
      </c>
      <c r="L83" s="8">
        <f t="shared" si="26"/>
        <v>0</v>
      </c>
    </row>
    <row r="84" spans="1:12" x14ac:dyDescent="0.25">
      <c r="A84" s="7">
        <v>83</v>
      </c>
      <c r="B84" s="7">
        <v>10</v>
      </c>
      <c r="C84" s="13">
        <v>-1.5</v>
      </c>
      <c r="D84" s="7">
        <f t="shared" si="18"/>
        <v>8.5</v>
      </c>
      <c r="E84" s="9">
        <f t="shared" si="19"/>
        <v>0.86646279306829765</v>
      </c>
      <c r="F84" s="8">
        <f t="shared" si="20"/>
        <v>3.682466870540265</v>
      </c>
      <c r="G84" s="7">
        <f t="shared" si="21"/>
        <v>0</v>
      </c>
      <c r="H84" s="8">
        <f t="shared" si="22"/>
        <v>9.81</v>
      </c>
      <c r="I84" s="9">
        <f t="shared" si="23"/>
        <v>2.1508664627930685</v>
      </c>
      <c r="J84" s="8">
        <f t="shared" si="24"/>
        <v>22.691641182466874</v>
      </c>
      <c r="K84" s="8">
        <f t="shared" si="25"/>
        <v>-19.009174311926611</v>
      </c>
      <c r="L84" s="8">
        <f t="shared" si="26"/>
        <v>0</v>
      </c>
    </row>
    <row r="85" spans="1:12" x14ac:dyDescent="0.25">
      <c r="A85" s="7">
        <v>84</v>
      </c>
      <c r="B85" s="7">
        <v>10</v>
      </c>
      <c r="C85" s="13">
        <v>-4.3</v>
      </c>
      <c r="D85" s="7">
        <f t="shared" si="18"/>
        <v>5.7</v>
      </c>
      <c r="E85" s="9">
        <f t="shared" si="19"/>
        <v>0.58103975535168195</v>
      </c>
      <c r="F85" s="8">
        <f t="shared" si="20"/>
        <v>1.6559633027522935</v>
      </c>
      <c r="G85" s="7">
        <f t="shared" si="21"/>
        <v>0</v>
      </c>
      <c r="H85" s="8">
        <f t="shared" si="22"/>
        <v>9.81</v>
      </c>
      <c r="I85" s="9">
        <f t="shared" si="23"/>
        <v>2.4362895005096838</v>
      </c>
      <c r="J85" s="8">
        <f t="shared" si="24"/>
        <v>29.113659531090722</v>
      </c>
      <c r="K85" s="8">
        <f t="shared" si="25"/>
        <v>-27.457696228338428</v>
      </c>
      <c r="L85" s="8">
        <f t="shared" si="26"/>
        <v>0</v>
      </c>
    </row>
    <row r="86" spans="1:12" x14ac:dyDescent="0.25">
      <c r="A86" s="7">
        <v>85</v>
      </c>
      <c r="B86" s="7">
        <v>10</v>
      </c>
      <c r="C86" s="13">
        <v>0.5</v>
      </c>
      <c r="D86" s="7">
        <f t="shared" si="18"/>
        <v>10.5</v>
      </c>
      <c r="E86" s="9">
        <f t="shared" si="19"/>
        <v>1.0703363914373087</v>
      </c>
      <c r="F86" s="8">
        <f t="shared" si="20"/>
        <v>5.6192660550458715</v>
      </c>
      <c r="G86" s="7">
        <f t="shared" si="21"/>
        <v>0</v>
      </c>
      <c r="H86" s="8">
        <f t="shared" si="22"/>
        <v>9.81</v>
      </c>
      <c r="I86" s="9">
        <f t="shared" si="23"/>
        <v>1.9469928644240573</v>
      </c>
      <c r="J86" s="8">
        <f t="shared" si="24"/>
        <v>18.593781855249748</v>
      </c>
      <c r="K86" s="8">
        <f t="shared" si="25"/>
        <v>-12.974515800203877</v>
      </c>
      <c r="L86" s="8">
        <f t="shared" si="26"/>
        <v>0</v>
      </c>
    </row>
    <row r="87" spans="1:12" x14ac:dyDescent="0.25">
      <c r="A87" s="7">
        <v>86</v>
      </c>
      <c r="B87" s="7">
        <v>10</v>
      </c>
      <c r="C87" s="13">
        <v>-1.6</v>
      </c>
      <c r="D87" s="7">
        <f t="shared" si="18"/>
        <v>8.4</v>
      </c>
      <c r="E87" s="9">
        <f t="shared" si="19"/>
        <v>0.85626911314984711</v>
      </c>
      <c r="F87" s="8">
        <f t="shared" si="20"/>
        <v>3.5963302752293576</v>
      </c>
      <c r="G87" s="7">
        <f t="shared" si="21"/>
        <v>0</v>
      </c>
      <c r="H87" s="8">
        <f t="shared" si="22"/>
        <v>9.81</v>
      </c>
      <c r="I87" s="9">
        <f t="shared" si="23"/>
        <v>2.161060142711519</v>
      </c>
      <c r="J87" s="8">
        <f t="shared" si="24"/>
        <v>22.907237512742103</v>
      </c>
      <c r="K87" s="8">
        <f t="shared" si="25"/>
        <v>-19.310907237512744</v>
      </c>
      <c r="L87" s="8">
        <f t="shared" si="26"/>
        <v>0</v>
      </c>
    </row>
    <row r="88" spans="1:12" x14ac:dyDescent="0.25">
      <c r="A88" s="7">
        <v>87</v>
      </c>
      <c r="B88" s="7">
        <v>10</v>
      </c>
      <c r="C88" s="13">
        <v>-4.0999999999999996</v>
      </c>
      <c r="D88" s="7">
        <f t="shared" si="18"/>
        <v>5.9</v>
      </c>
      <c r="E88" s="9">
        <f t="shared" si="19"/>
        <v>0.60142711518858305</v>
      </c>
      <c r="F88" s="8">
        <f t="shared" si="20"/>
        <v>1.7742099898063202</v>
      </c>
      <c r="G88" s="7">
        <f t="shared" si="21"/>
        <v>0</v>
      </c>
      <c r="H88" s="8">
        <f t="shared" si="22"/>
        <v>9.81</v>
      </c>
      <c r="I88" s="9">
        <f t="shared" si="23"/>
        <v>2.4159021406727827</v>
      </c>
      <c r="J88" s="8">
        <f t="shared" si="24"/>
        <v>28.628440366972473</v>
      </c>
      <c r="K88" s="8">
        <f t="shared" si="25"/>
        <v>-26.854230377166154</v>
      </c>
      <c r="L88" s="8">
        <f t="shared" si="26"/>
        <v>0</v>
      </c>
    </row>
    <row r="89" spans="1:12" x14ac:dyDescent="0.25">
      <c r="A89" s="7">
        <v>88</v>
      </c>
      <c r="B89" s="7">
        <v>10</v>
      </c>
      <c r="C89" s="13">
        <v>-1.5</v>
      </c>
      <c r="D89" s="7">
        <f t="shared" si="18"/>
        <v>8.5</v>
      </c>
      <c r="E89" s="9">
        <f t="shared" si="19"/>
        <v>0.86646279306829765</v>
      </c>
      <c r="F89" s="8">
        <f t="shared" si="20"/>
        <v>3.682466870540265</v>
      </c>
      <c r="G89" s="7">
        <f t="shared" si="21"/>
        <v>0</v>
      </c>
      <c r="H89" s="8">
        <f t="shared" si="22"/>
        <v>9.81</v>
      </c>
      <c r="I89" s="9">
        <f t="shared" si="23"/>
        <v>2.1508664627930685</v>
      </c>
      <c r="J89" s="8">
        <f t="shared" si="24"/>
        <v>22.691641182466874</v>
      </c>
      <c r="K89" s="8">
        <f t="shared" si="25"/>
        <v>-19.009174311926611</v>
      </c>
      <c r="L89" s="8">
        <f t="shared" si="26"/>
        <v>0</v>
      </c>
    </row>
    <row r="90" spans="1:12" x14ac:dyDescent="0.25">
      <c r="A90" s="7">
        <v>89</v>
      </c>
      <c r="B90" s="7">
        <v>10</v>
      </c>
      <c r="C90" s="13">
        <v>-1.6</v>
      </c>
      <c r="D90" s="7">
        <f t="shared" si="18"/>
        <v>8.4</v>
      </c>
      <c r="E90" s="9">
        <f t="shared" si="19"/>
        <v>0.85626911314984711</v>
      </c>
      <c r="F90" s="8">
        <f t="shared" si="20"/>
        <v>3.5963302752293576</v>
      </c>
      <c r="G90" s="7">
        <f t="shared" si="21"/>
        <v>0</v>
      </c>
      <c r="H90" s="8">
        <f t="shared" si="22"/>
        <v>9.81</v>
      </c>
      <c r="I90" s="9">
        <f t="shared" si="23"/>
        <v>2.161060142711519</v>
      </c>
      <c r="J90" s="8">
        <f t="shared" si="24"/>
        <v>22.907237512742103</v>
      </c>
      <c r="K90" s="8">
        <f t="shared" si="25"/>
        <v>-19.310907237512744</v>
      </c>
      <c r="L90" s="8">
        <f t="shared" si="26"/>
        <v>0</v>
      </c>
    </row>
    <row r="91" spans="1:12" x14ac:dyDescent="0.25">
      <c r="A91" s="7">
        <v>90</v>
      </c>
      <c r="B91" s="7">
        <v>10</v>
      </c>
      <c r="C91" s="13">
        <v>-2.4</v>
      </c>
      <c r="D91" s="7">
        <f t="shared" si="18"/>
        <v>7.6</v>
      </c>
      <c r="E91" s="9">
        <f t="shared" si="19"/>
        <v>0.77471967380224249</v>
      </c>
      <c r="F91" s="8">
        <f t="shared" si="20"/>
        <v>2.9439347604485215</v>
      </c>
      <c r="G91" s="7">
        <f t="shared" si="21"/>
        <v>0</v>
      </c>
      <c r="H91" s="8">
        <f t="shared" si="22"/>
        <v>9.81</v>
      </c>
      <c r="I91" s="9">
        <f t="shared" si="23"/>
        <v>2.2426095820591234</v>
      </c>
      <c r="J91" s="8">
        <f t="shared" si="24"/>
        <v>24.66870540265036</v>
      </c>
      <c r="K91" s="8">
        <f t="shared" si="25"/>
        <v>-21.72477064220184</v>
      </c>
      <c r="L91" s="8">
        <f t="shared" si="26"/>
        <v>0</v>
      </c>
    </row>
    <row r="92" spans="1:12" x14ac:dyDescent="0.25">
      <c r="A92" s="7">
        <v>91</v>
      </c>
      <c r="B92" s="7">
        <v>10</v>
      </c>
      <c r="C92" s="13">
        <v>-0.5</v>
      </c>
      <c r="D92" s="7">
        <f t="shared" si="18"/>
        <v>9.5</v>
      </c>
      <c r="E92" s="9">
        <f t="shared" si="19"/>
        <v>0.96839959225280325</v>
      </c>
      <c r="F92" s="8">
        <f t="shared" si="20"/>
        <v>4.5998980632008148</v>
      </c>
      <c r="G92" s="7">
        <f t="shared" si="21"/>
        <v>0</v>
      </c>
      <c r="H92" s="8">
        <f t="shared" si="22"/>
        <v>9.81</v>
      </c>
      <c r="I92" s="9">
        <f t="shared" si="23"/>
        <v>2.048929663608563</v>
      </c>
      <c r="J92" s="8">
        <f t="shared" si="24"/>
        <v>20.591743119266063</v>
      </c>
      <c r="K92" s="8">
        <f t="shared" si="25"/>
        <v>-15.991845056065248</v>
      </c>
      <c r="L92" s="8">
        <f t="shared" si="26"/>
        <v>0</v>
      </c>
    </row>
    <row r="93" spans="1:12" x14ac:dyDescent="0.25">
      <c r="A93" s="7">
        <v>92</v>
      </c>
      <c r="B93" s="7">
        <v>10</v>
      </c>
      <c r="C93" s="13">
        <v>4.8</v>
      </c>
      <c r="D93" s="7">
        <f t="shared" si="18"/>
        <v>14.8</v>
      </c>
      <c r="E93" s="9">
        <f t="shared" si="19"/>
        <v>1.508664627930683</v>
      </c>
      <c r="F93" s="8">
        <f t="shared" si="20"/>
        <v>11.164118246687055</v>
      </c>
      <c r="G93" s="7">
        <f t="shared" si="21"/>
        <v>0</v>
      </c>
      <c r="H93" s="8">
        <f t="shared" si="22"/>
        <v>9.81</v>
      </c>
      <c r="I93" s="9">
        <f t="shared" si="23"/>
        <v>1.508664627930683</v>
      </c>
      <c r="J93" s="8">
        <f t="shared" si="24"/>
        <v>11.164118246687055</v>
      </c>
      <c r="K93" s="8">
        <f t="shared" si="25"/>
        <v>0</v>
      </c>
      <c r="L93" s="8">
        <f t="shared" si="26"/>
        <v>0</v>
      </c>
    </row>
    <row r="94" spans="1:12" x14ac:dyDescent="0.25">
      <c r="A94" s="7">
        <v>93</v>
      </c>
      <c r="B94" s="7">
        <v>10</v>
      </c>
      <c r="C94" s="13">
        <v>3.6</v>
      </c>
      <c r="D94" s="7">
        <f t="shared" si="18"/>
        <v>13.6</v>
      </c>
      <c r="E94" s="9">
        <f t="shared" si="19"/>
        <v>1.3863404689092762</v>
      </c>
      <c r="F94" s="8">
        <f t="shared" si="20"/>
        <v>9.4271151885830768</v>
      </c>
      <c r="G94" s="7">
        <f t="shared" si="21"/>
        <v>0</v>
      </c>
      <c r="H94" s="8">
        <f t="shared" si="22"/>
        <v>9.81</v>
      </c>
      <c r="I94" s="9">
        <f t="shared" si="23"/>
        <v>1.6309887869520898</v>
      </c>
      <c r="J94" s="8">
        <f t="shared" si="24"/>
        <v>13.047910295616722</v>
      </c>
      <c r="K94" s="8">
        <f t="shared" si="25"/>
        <v>-3.6207951070336453</v>
      </c>
      <c r="L94" s="8">
        <f t="shared" si="26"/>
        <v>0</v>
      </c>
    </row>
    <row r="95" spans="1:12" x14ac:dyDescent="0.25">
      <c r="A95" s="7">
        <v>94</v>
      </c>
      <c r="B95" s="7">
        <v>10</v>
      </c>
      <c r="C95" s="13">
        <v>0.5</v>
      </c>
      <c r="D95" s="7">
        <f t="shared" si="18"/>
        <v>10.5</v>
      </c>
      <c r="E95" s="9">
        <f t="shared" si="19"/>
        <v>1.0703363914373087</v>
      </c>
      <c r="F95" s="8">
        <f t="shared" si="20"/>
        <v>5.6192660550458715</v>
      </c>
      <c r="G95" s="7">
        <f t="shared" si="21"/>
        <v>0</v>
      </c>
      <c r="H95" s="8">
        <f t="shared" si="22"/>
        <v>9.81</v>
      </c>
      <c r="I95" s="9">
        <f t="shared" si="23"/>
        <v>1.9469928644240573</v>
      </c>
      <c r="J95" s="8">
        <f t="shared" si="24"/>
        <v>18.593781855249748</v>
      </c>
      <c r="K95" s="8">
        <f t="shared" si="25"/>
        <v>-12.974515800203877</v>
      </c>
      <c r="L95" s="8">
        <f t="shared" si="26"/>
        <v>0</v>
      </c>
    </row>
    <row r="96" spans="1:12" x14ac:dyDescent="0.25">
      <c r="A96" s="7">
        <v>95</v>
      </c>
      <c r="B96" s="7">
        <v>10</v>
      </c>
      <c r="C96" s="13">
        <v>4.3</v>
      </c>
      <c r="D96" s="7">
        <f t="shared" si="18"/>
        <v>14.3</v>
      </c>
      <c r="E96" s="9">
        <f t="shared" si="19"/>
        <v>1.4576962283384303</v>
      </c>
      <c r="F96" s="8">
        <f t="shared" si="20"/>
        <v>10.422528032619775</v>
      </c>
      <c r="G96" s="7">
        <f t="shared" si="21"/>
        <v>0</v>
      </c>
      <c r="H96" s="8">
        <f t="shared" si="22"/>
        <v>9.81</v>
      </c>
      <c r="I96" s="9">
        <f t="shared" si="23"/>
        <v>1.5596330275229358</v>
      </c>
      <c r="J96" s="8">
        <f t="shared" si="24"/>
        <v>11.93119266055046</v>
      </c>
      <c r="K96" s="8">
        <f t="shared" si="25"/>
        <v>-1.5086646279306848</v>
      </c>
      <c r="L96" s="8">
        <f t="shared" si="26"/>
        <v>0</v>
      </c>
    </row>
    <row r="97" spans="1:12" x14ac:dyDescent="0.25">
      <c r="A97" s="7">
        <v>96</v>
      </c>
      <c r="B97" s="7">
        <v>10</v>
      </c>
      <c r="C97" s="13">
        <v>-4.5999999999999996</v>
      </c>
      <c r="D97" s="7">
        <f t="shared" si="18"/>
        <v>5.4</v>
      </c>
      <c r="E97" s="9">
        <f t="shared" si="19"/>
        <v>0.55045871559633031</v>
      </c>
      <c r="F97" s="8">
        <f t="shared" si="20"/>
        <v>1.4862385321100919</v>
      </c>
      <c r="G97" s="7">
        <f t="shared" si="21"/>
        <v>0</v>
      </c>
      <c r="H97" s="8">
        <f t="shared" si="22"/>
        <v>9.81</v>
      </c>
      <c r="I97" s="9">
        <f t="shared" si="23"/>
        <v>2.4668705402650355</v>
      </c>
      <c r="J97" s="8">
        <f t="shared" si="24"/>
        <v>29.849133537206928</v>
      </c>
      <c r="K97" s="8">
        <f t="shared" si="25"/>
        <v>-28.362895005096835</v>
      </c>
      <c r="L97" s="8">
        <f t="shared" si="26"/>
        <v>0</v>
      </c>
    </row>
    <row r="98" spans="1:12" x14ac:dyDescent="0.25">
      <c r="A98" s="7">
        <v>97</v>
      </c>
      <c r="B98" s="7">
        <v>10</v>
      </c>
      <c r="C98" s="13">
        <v>1.4</v>
      </c>
      <c r="D98" s="7">
        <f t="shared" si="18"/>
        <v>11.4</v>
      </c>
      <c r="E98" s="9">
        <f t="shared" si="19"/>
        <v>1.1620795107033639</v>
      </c>
      <c r="F98" s="8">
        <f t="shared" si="20"/>
        <v>6.6238532110091741</v>
      </c>
      <c r="G98" s="7">
        <f t="shared" si="21"/>
        <v>0</v>
      </c>
      <c r="H98" s="8">
        <f t="shared" si="22"/>
        <v>9.81</v>
      </c>
      <c r="I98" s="9">
        <f t="shared" si="23"/>
        <v>1.8552497451580021</v>
      </c>
      <c r="J98" s="8">
        <f t="shared" si="24"/>
        <v>16.882772680937823</v>
      </c>
      <c r="K98" s="8">
        <f t="shared" si="25"/>
        <v>-10.258919469928649</v>
      </c>
      <c r="L98" s="8">
        <f t="shared" si="26"/>
        <v>0</v>
      </c>
    </row>
    <row r="99" spans="1:12" x14ac:dyDescent="0.25">
      <c r="A99" s="7">
        <v>98</v>
      </c>
      <c r="B99" s="7">
        <v>10</v>
      </c>
      <c r="C99" s="13">
        <v>-1.3</v>
      </c>
      <c r="D99" s="7">
        <f t="shared" si="18"/>
        <v>8.6999999999999993</v>
      </c>
      <c r="E99" s="9">
        <f t="shared" si="19"/>
        <v>0.88685015290519864</v>
      </c>
      <c r="F99" s="8">
        <f t="shared" si="20"/>
        <v>3.8577981651376136</v>
      </c>
      <c r="G99" s="7">
        <f t="shared" si="21"/>
        <v>0</v>
      </c>
      <c r="H99" s="8">
        <f t="shared" si="22"/>
        <v>9.81</v>
      </c>
      <c r="I99" s="9">
        <f t="shared" si="23"/>
        <v>2.1304791029561674</v>
      </c>
      <c r="J99" s="8">
        <f t="shared" si="24"/>
        <v>22.263506625891953</v>
      </c>
      <c r="K99" s="8">
        <f t="shared" si="25"/>
        <v>-18.40570846075434</v>
      </c>
      <c r="L99" s="8">
        <f t="shared" si="26"/>
        <v>0</v>
      </c>
    </row>
    <row r="100" spans="1:12" x14ac:dyDescent="0.25">
      <c r="A100" s="7">
        <v>99</v>
      </c>
      <c r="B100" s="7">
        <v>10</v>
      </c>
      <c r="C100" s="13">
        <v>2.7</v>
      </c>
      <c r="D100" s="7">
        <f t="shared" si="18"/>
        <v>12.7</v>
      </c>
      <c r="E100" s="9">
        <f t="shared" si="19"/>
        <v>1.294597349643221</v>
      </c>
      <c r="F100" s="8">
        <f t="shared" si="20"/>
        <v>8.220693170234453</v>
      </c>
      <c r="G100" s="7">
        <f t="shared" si="21"/>
        <v>0</v>
      </c>
      <c r="H100" s="8">
        <f t="shared" si="22"/>
        <v>9.81</v>
      </c>
      <c r="I100" s="9">
        <f t="shared" si="23"/>
        <v>1.722731906218145</v>
      </c>
      <c r="J100" s="8">
        <f t="shared" si="24"/>
        <v>14.557084607543327</v>
      </c>
      <c r="K100" s="8">
        <f t="shared" si="25"/>
        <v>-6.3363914373088743</v>
      </c>
      <c r="L100" s="8">
        <f t="shared" si="26"/>
        <v>0</v>
      </c>
    </row>
    <row r="101" spans="1:12" x14ac:dyDescent="0.25">
      <c r="A101" s="7">
        <v>100</v>
      </c>
      <c r="B101" s="7">
        <v>10</v>
      </c>
      <c r="C101" s="13">
        <v>0.8</v>
      </c>
      <c r="D101" s="7">
        <f t="shared" si="18"/>
        <v>10.8</v>
      </c>
      <c r="E101" s="9">
        <f t="shared" si="19"/>
        <v>1.1009174311926606</v>
      </c>
      <c r="F101" s="8">
        <f t="shared" si="20"/>
        <v>5.9449541284403677</v>
      </c>
      <c r="G101" s="7">
        <f t="shared" si="21"/>
        <v>0</v>
      </c>
      <c r="H101" s="8">
        <f t="shared" si="22"/>
        <v>9.81</v>
      </c>
      <c r="I101" s="9">
        <f t="shared" si="23"/>
        <v>1.9164118246687054</v>
      </c>
      <c r="J101" s="8">
        <f t="shared" si="24"/>
        <v>18.014271151885833</v>
      </c>
      <c r="K101" s="8">
        <f t="shared" si="25"/>
        <v>-12.069317023445464</v>
      </c>
      <c r="L101" s="8">
        <f t="shared" si="26"/>
        <v>0</v>
      </c>
    </row>
    <row r="102" spans="1:12" x14ac:dyDescent="0.25">
      <c r="A102" s="1"/>
      <c r="B102" s="1"/>
      <c r="C102" s="14"/>
      <c r="D102" s="1"/>
      <c r="E102" s="2"/>
      <c r="F102" s="4"/>
      <c r="G102" s="1"/>
      <c r="H102" s="4"/>
      <c r="I102" s="2"/>
      <c r="J102" s="4"/>
      <c r="K102" s="1"/>
      <c r="L102" s="4"/>
    </row>
    <row r="103" spans="1:12" x14ac:dyDescent="0.25">
      <c r="A103" s="1"/>
      <c r="B103" s="1"/>
      <c r="C103" s="14"/>
      <c r="D103" s="1"/>
      <c r="E103" s="2"/>
      <c r="F103" s="4"/>
      <c r="G103" s="1"/>
      <c r="H103" s="4"/>
      <c r="I103" s="2"/>
      <c r="J103" s="4"/>
      <c r="K103" s="1"/>
      <c r="L103" s="4"/>
    </row>
  </sheetData>
  <sheetProtection password="DA83" sheet="1" objects="1" scenarios="1"/>
  <sortState ref="B2:L103">
    <sortCondition ref="D2:D103"/>
  </sortState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O10:O11"/>
  <sheetViews>
    <sheetView workbookViewId="0">
      <selection activeCell="O12" sqref="O12"/>
    </sheetView>
  </sheetViews>
  <sheetFormatPr defaultRowHeight="15" x14ac:dyDescent="0.25"/>
  <cols>
    <col min="15" max="15" width="11.140625" bestFit="1" customWidth="1"/>
  </cols>
  <sheetData>
    <row r="10" spans="15:15" x14ac:dyDescent="0.25">
      <c r="O10" s="6" t="s">
        <v>15</v>
      </c>
    </row>
    <row r="11" spans="15:15" x14ac:dyDescent="0.25">
      <c r="O11" s="12">
        <v>100</v>
      </c>
    </row>
  </sheetData>
  <pageMargins left="0.7" right="0.7" top="0.75" bottom="0.75" header="0.3" footer="0.3"/>
  <pageSetup paperSize="9"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data</vt:lpstr>
      <vt:lpstr>simulation</vt:lpstr>
      <vt:lpstr>ball_count</vt:lpstr>
      <vt:lpstr>Clock</vt:lpstr>
      <vt:lpstr>Gravity</vt:lpstr>
      <vt:lpstr>Max_height</vt:lpstr>
      <vt:lpstr>Max_Time</vt:lpstr>
      <vt:lpstr>Time_steps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Administrator1</dc:creator>
  <cp:lastModifiedBy>Administrator1</cp:lastModifiedBy>
  <dcterms:created xsi:type="dcterms:W3CDTF">2020-04-27T04:21:52Z</dcterms:created>
  <dcterms:modified xsi:type="dcterms:W3CDTF">2020-04-28T01:58:56Z</dcterms:modified>
</cp:coreProperties>
</file>